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/>
  <mc:AlternateContent xmlns:mc="http://schemas.openxmlformats.org/markup-compatibility/2006">
    <mc:Choice Requires="x15">
      <x15ac:absPath xmlns:x15ac="http://schemas.microsoft.com/office/spreadsheetml/2010/11/ac" url="https://chevron-my.sharepoint.com/personal/andreipopa_chevron_com/Documents/Desktop/RM Tools USC/USC Internship/Kamy Internship/GA AcidJob data/"/>
    </mc:Choice>
  </mc:AlternateContent>
  <xr:revisionPtr revIDLastSave="7" documentId="8_{C057AA81-51B1-4FC0-BF78-36EAB9A080A9}" xr6:coauthVersionLast="47" xr6:coauthVersionMax="47" xr10:uidLastSave="{746C8409-D3AD-42CC-867F-CAB11D6545F9}"/>
  <bookViews>
    <workbookView xWindow="30855" yWindow="420" windowWidth="25545" windowHeight="14235" xr2:uid="{24116098-EC54-4C24-B5DE-2426012A71D6}"/>
  </bookViews>
  <sheets>
    <sheet name="test_data_random" sheetId="1" r:id="rId1"/>
  </sheets>
  <definedNames>
    <definedName name="_xlnm._FilterDatabase" localSheetId="0" hidden="1">test_data_random!$A$2:$Q$152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7" i="1" l="1"/>
  <c r="K146" i="1"/>
  <c r="K144" i="1"/>
  <c r="K143" i="1"/>
  <c r="K141" i="1"/>
  <c r="K140" i="1"/>
  <c r="K139" i="1"/>
  <c r="K135" i="1"/>
  <c r="J134" i="1"/>
  <c r="K132" i="1"/>
  <c r="K127" i="1"/>
  <c r="K120" i="1"/>
  <c r="K119" i="1"/>
  <c r="K117" i="1"/>
  <c r="J104" i="1"/>
  <c r="K103" i="1"/>
  <c r="J102" i="1"/>
  <c r="K99" i="1"/>
  <c r="J95" i="1"/>
  <c r="K88" i="1"/>
  <c r="K86" i="1"/>
  <c r="J86" i="1"/>
  <c r="K85" i="1"/>
  <c r="J85" i="1"/>
  <c r="J83" i="1"/>
  <c r="K80" i="1"/>
  <c r="J78" i="1"/>
  <c r="J64" i="1"/>
  <c r="K62" i="1"/>
  <c r="J62" i="1"/>
  <c r="K59" i="1"/>
  <c r="K57" i="1"/>
  <c r="K55" i="1"/>
  <c r="K31" i="1"/>
  <c r="K17" i="1"/>
  <c r="K14" i="1"/>
  <c r="K3" i="1"/>
</calcChain>
</file>

<file path=xl/sharedStrings.xml><?xml version="1.0" encoding="utf-8"?>
<sst xmlns="http://schemas.openxmlformats.org/spreadsheetml/2006/main" count="48" uniqueCount="33">
  <si>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</si>
  <si>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</si>
  <si>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</si>
  <si>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</si>
  <si>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</si>
  <si>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</si>
  <si>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</si>
  <si>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</si>
  <si>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Input 9</t>
  </si>
  <si>
    <t>Input 10</t>
  </si>
  <si>
    <t>Input 11</t>
  </si>
  <si>
    <t>Input 12</t>
  </si>
  <si>
    <t>Input 13</t>
  </si>
  <si>
    <t>Input 14</t>
  </si>
  <si>
    <t>output</t>
  </si>
  <si>
    <t xml:space="preserve">Outlier </t>
  </si>
  <si>
    <t>Type_1</t>
  </si>
  <si>
    <t>Field3</t>
  </si>
  <si>
    <t>Reservoir_3</t>
  </si>
  <si>
    <t>Well    Type_3</t>
  </si>
  <si>
    <t>Alt</t>
  </si>
  <si>
    <t>VD</t>
  </si>
  <si>
    <t>Type WRK</t>
  </si>
  <si>
    <t xml:space="preserve"> %add</t>
  </si>
  <si>
    <t>Input_Vol</t>
  </si>
  <si>
    <t>Interval</t>
  </si>
  <si>
    <t>Qi</t>
  </si>
  <si>
    <t>Di</t>
  </si>
  <si>
    <t>Diff_180_to_0</t>
  </si>
  <si>
    <t>Avg_180_to_0</t>
  </si>
  <si>
    <t>Output</t>
  </si>
  <si>
    <t>x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</si>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</sst>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 wrapText="1"/>
    </xf>
    <xf numFmtId="0" fontId="0" fillId="5" borderId="0" xfId="0" applyFill="1"/>
    <xf numFmtId="0" fontId="0" fillId="2" borderId="0" xfId="0" applyFill="1"/>
    <xf numFmtId="0" fontId="0" fillId="6" borderId="0" xfId="0" applyFill="1"/>
    <xf numFmtId="1" fontId="0" fillId="6" borderId="0" xfId="0" applyNumberFormat="1" applyFill="1"/>
    <xf numFmtId="0" fontId="0" fillId="7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C8C80-54C5-4DB1-878D-B29A9E91048D}">
  <sheetPr codeName="Sheet7"/>
  <dimension ref="A1:T164"/>
  <sheetViews>
    <sheetView tabSelected="1" zoomScale="80" zoomScaleNormal="80" workbookViewId="0">
      <pane ySplit="2" topLeftCell="A3" activePane="bottomLeft" state="frozen"/>
      <selection pane="bottomLeft" activeCell="K3" sqref="K3"/>
    </sheetView>
  </sheetViews>
  <sheetFormatPr defaultColWidth="9.140625" defaultRowHeight="15"/>
  <cols>
    <col min="1" max="1" width="9.140625" style="1"/>
    <col min="2" max="2" width="13.5703125" style="1" customWidth="1"/>
    <col min="3" max="3" width="12.42578125" style="1" customWidth="1"/>
    <col min="4" max="4" width="15" style="1" customWidth="1"/>
    <col min="5" max="5" width="11.7109375" style="1" customWidth="1"/>
    <col min="6" max="6" width="16.42578125" style="1" customWidth="1"/>
    <col min="7" max="7" width="10.28515625" style="1" customWidth="1"/>
    <col min="8" max="8" width="15" style="1" customWidth="1"/>
    <col min="9" max="9" width="14" style="1" customWidth="1"/>
    <col min="10" max="10" width="17.85546875" style="1" customWidth="1"/>
    <col min="11" max="11" width="17.28515625" style="1" customWidth="1"/>
    <col min="12" max="13" width="9.140625" style="1" customWidth="1"/>
    <col min="14" max="14" width="16.85546875" style="1" customWidth="1"/>
    <col min="15" max="15" width="15" style="1" customWidth="1"/>
    <col min="16" max="16" width="12.28515625" style="1" customWidth="1"/>
    <col min="17" max="17" width="8" style="1" customWidth="1"/>
    <col min="18" max="16384" width="9.140625" style="1"/>
  </cols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1" t="s">
        <v>13</v>
      </c>
      <c r="P1" s="3" t="s">
        <v>14</v>
      </c>
      <c r="Q1" s="1" t="s">
        <v>15</v>
      </c>
    </row>
    <row r="2" spans="1:20" s="4" customFormat="1" ht="37.5" customHeight="1"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6" t="s">
        <v>26</v>
      </c>
      <c r="M2" s="6" t="s">
        <v>27</v>
      </c>
      <c r="N2" s="7" t="s">
        <v>28</v>
      </c>
      <c r="O2" s="5" t="s">
        <v>29</v>
      </c>
      <c r="P2" s="8" t="s">
        <v>30</v>
      </c>
    </row>
    <row r="3" spans="1:20">
      <c r="B3" s="1">
        <v>2</v>
      </c>
      <c r="C3" s="1">
        <v>2</v>
      </c>
      <c r="D3" s="1">
        <v>1</v>
      </c>
      <c r="E3" s="1">
        <v>1</v>
      </c>
      <c r="F3" s="1">
        <v>1</v>
      </c>
      <c r="G3" s="1">
        <v>2</v>
      </c>
      <c r="H3" s="1">
        <v>3</v>
      </c>
      <c r="I3" s="1">
        <v>15</v>
      </c>
      <c r="J3" s="1">
        <v>7</v>
      </c>
      <c r="K3" s="1">
        <f>(4438-4410)+(4400-4395)</f>
        <v>33</v>
      </c>
      <c r="L3">
        <v>337.14488679999999</v>
      </c>
      <c r="M3">
        <v>8.9999999999999998E-4</v>
      </c>
      <c r="N3">
        <v>-327.2</v>
      </c>
      <c r="O3">
        <v>306.3</v>
      </c>
      <c r="P3" s="9">
        <v>58045.164669999998</v>
      </c>
    </row>
    <row r="4" spans="1:20">
      <c r="B4" s="1">
        <v>2</v>
      </c>
      <c r="C4" s="1">
        <v>2</v>
      </c>
      <c r="D4" s="1">
        <v>1</v>
      </c>
      <c r="E4" s="1">
        <v>1</v>
      </c>
      <c r="F4" s="1">
        <v>2</v>
      </c>
      <c r="G4" s="1">
        <v>1</v>
      </c>
      <c r="H4" s="1">
        <v>1</v>
      </c>
      <c r="I4" s="1">
        <v>13</v>
      </c>
      <c r="J4" s="1">
        <v>48</v>
      </c>
      <c r="K4" s="1">
        <v>10</v>
      </c>
      <c r="L4">
        <v>16.547999999999998</v>
      </c>
      <c r="M4">
        <v>9.0899999999999998E-4</v>
      </c>
      <c r="N4">
        <v>-15.6</v>
      </c>
      <c r="O4">
        <v>15.1</v>
      </c>
      <c r="P4" s="9">
        <v>-705.51935900000001</v>
      </c>
    </row>
    <row r="5" spans="1:20">
      <c r="B5" s="1">
        <v>2</v>
      </c>
      <c r="C5" s="1">
        <v>2</v>
      </c>
      <c r="D5" s="1">
        <v>1</v>
      </c>
      <c r="E5" s="1">
        <v>2</v>
      </c>
      <c r="F5" s="1">
        <v>1</v>
      </c>
      <c r="G5" s="1">
        <v>1</v>
      </c>
      <c r="H5" s="1">
        <v>2</v>
      </c>
      <c r="I5" s="1">
        <v>20</v>
      </c>
      <c r="J5" s="1">
        <v>451</v>
      </c>
      <c r="K5" s="1">
        <v>126</v>
      </c>
      <c r="L5">
        <v>1513.92</v>
      </c>
      <c r="M5">
        <v>9.1808999999999999E-4</v>
      </c>
      <c r="N5">
        <v>-1423.1</v>
      </c>
      <c r="O5">
        <v>1379.3</v>
      </c>
      <c r="P5" s="9">
        <v>40461.894800000002</v>
      </c>
    </row>
    <row r="6" spans="1:20">
      <c r="B6" s="1">
        <v>2</v>
      </c>
      <c r="C6" s="1">
        <v>2</v>
      </c>
      <c r="D6" s="1">
        <v>1</v>
      </c>
      <c r="E6" s="1">
        <v>1</v>
      </c>
      <c r="F6" s="1">
        <v>1</v>
      </c>
      <c r="G6" s="1">
        <v>2</v>
      </c>
      <c r="H6" s="1">
        <v>2</v>
      </c>
      <c r="I6" s="1">
        <v>15</v>
      </c>
      <c r="J6" s="1">
        <v>100</v>
      </c>
      <c r="K6" s="1">
        <v>221</v>
      </c>
      <c r="L6">
        <v>1661.91</v>
      </c>
      <c r="M6">
        <v>9.2727100000000002E-4</v>
      </c>
      <c r="N6">
        <v>-1483.3</v>
      </c>
      <c r="O6">
        <v>1534.2</v>
      </c>
      <c r="P6" s="9">
        <v>-61070.296009999998</v>
      </c>
      <c r="Q6" s="1" t="s">
        <v>31</v>
      </c>
    </row>
    <row r="7" spans="1:20"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2</v>
      </c>
      <c r="H7" s="1">
        <v>3</v>
      </c>
      <c r="I7" s="1">
        <v>15</v>
      </c>
      <c r="J7" s="1">
        <v>15</v>
      </c>
      <c r="K7" s="1">
        <v>46</v>
      </c>
      <c r="L7">
        <v>181.28019380000001</v>
      </c>
      <c r="M7">
        <v>2.3688139999999999E-3</v>
      </c>
      <c r="N7">
        <v>-173.1</v>
      </c>
      <c r="O7">
        <v>150</v>
      </c>
      <c r="P7" s="9">
        <v>3527.7290910000002</v>
      </c>
    </row>
    <row r="8" spans="1:20">
      <c r="B8" s="1">
        <v>1</v>
      </c>
      <c r="C8" s="1">
        <v>1</v>
      </c>
      <c r="D8" s="1">
        <v>1</v>
      </c>
      <c r="E8" s="1">
        <v>1</v>
      </c>
      <c r="F8" s="1">
        <v>3</v>
      </c>
      <c r="G8" s="1">
        <v>2</v>
      </c>
      <c r="H8" s="1">
        <v>3</v>
      </c>
      <c r="I8" s="1">
        <v>15</v>
      </c>
      <c r="J8" s="1">
        <v>52</v>
      </c>
      <c r="K8" s="1">
        <v>42</v>
      </c>
      <c r="L8">
        <v>5.7053370000000001</v>
      </c>
      <c r="M8">
        <v>9.3654399999999998E-4</v>
      </c>
      <c r="N8">
        <v>-5.4</v>
      </c>
      <c r="O8">
        <v>5.2</v>
      </c>
      <c r="P8" s="9">
        <v>74.854114030000005</v>
      </c>
    </row>
    <row r="9" spans="1:20">
      <c r="B9" s="1">
        <v>1</v>
      </c>
      <c r="C9" s="1">
        <v>1</v>
      </c>
      <c r="D9" s="1">
        <v>1</v>
      </c>
      <c r="E9" s="1">
        <v>2</v>
      </c>
      <c r="F9" s="1">
        <v>1</v>
      </c>
      <c r="G9" s="1">
        <v>2</v>
      </c>
      <c r="H9" s="1">
        <v>4</v>
      </c>
      <c r="I9" s="1">
        <v>15</v>
      </c>
      <c r="J9" s="1">
        <v>1041</v>
      </c>
      <c r="K9" s="1">
        <v>1458</v>
      </c>
      <c r="L9">
        <v>131.43457230000001</v>
      </c>
      <c r="M9">
        <v>1.876162E-3</v>
      </c>
      <c r="N9">
        <v>-80.5</v>
      </c>
      <c r="O9">
        <v>114</v>
      </c>
      <c r="P9" s="9">
        <v>10742.623240000001</v>
      </c>
    </row>
    <row r="10" spans="1:20">
      <c r="B10" s="10">
        <v>1</v>
      </c>
      <c r="C10" s="1">
        <v>1</v>
      </c>
      <c r="D10" s="1">
        <v>1</v>
      </c>
      <c r="E10" s="10">
        <v>2</v>
      </c>
      <c r="F10" s="1">
        <v>1</v>
      </c>
      <c r="G10" s="10">
        <v>3</v>
      </c>
      <c r="H10" s="10">
        <v>4</v>
      </c>
      <c r="I10" s="1">
        <v>15</v>
      </c>
      <c r="J10" s="10">
        <v>710</v>
      </c>
      <c r="K10" s="10">
        <v>1491</v>
      </c>
      <c r="L10">
        <v>163.36215329999999</v>
      </c>
      <c r="M10">
        <v>9.2727100000000002E-4</v>
      </c>
      <c r="N10">
        <v>-111.0287938</v>
      </c>
      <c r="O10">
        <v>148.80000000000001</v>
      </c>
      <c r="P10" s="9">
        <v>18850.5213</v>
      </c>
    </row>
    <row r="11" spans="1:20">
      <c r="B11" s="1">
        <v>1</v>
      </c>
      <c r="C11" s="1">
        <v>1</v>
      </c>
      <c r="D11" s="1">
        <v>1</v>
      </c>
      <c r="E11" s="1">
        <v>2</v>
      </c>
      <c r="F11" s="1">
        <v>1</v>
      </c>
      <c r="G11" s="1">
        <v>2</v>
      </c>
      <c r="H11" s="1">
        <v>2</v>
      </c>
      <c r="I11" s="1">
        <v>15</v>
      </c>
      <c r="J11" s="1">
        <v>589</v>
      </c>
      <c r="K11" s="1">
        <v>1426</v>
      </c>
      <c r="L11">
        <v>78.518566840000005</v>
      </c>
      <c r="M11">
        <v>1.2374700000000001E-3</v>
      </c>
      <c r="N11">
        <v>-56.7</v>
      </c>
      <c r="O11">
        <v>76.5</v>
      </c>
      <c r="P11" s="9">
        <v>18445.69356</v>
      </c>
    </row>
    <row r="12" spans="1:20">
      <c r="B12" s="1">
        <v>2</v>
      </c>
      <c r="C12" s="1">
        <v>1</v>
      </c>
      <c r="D12" s="1">
        <v>1</v>
      </c>
      <c r="E12" s="1">
        <v>2</v>
      </c>
      <c r="F12" s="1">
        <v>3</v>
      </c>
      <c r="G12" s="1">
        <v>3</v>
      </c>
      <c r="H12" s="1">
        <v>4</v>
      </c>
      <c r="I12" s="1">
        <v>20</v>
      </c>
      <c r="J12" s="1">
        <v>864</v>
      </c>
      <c r="K12" s="1">
        <v>1450</v>
      </c>
      <c r="L12">
        <v>465.24954200000002</v>
      </c>
      <c r="M12">
        <v>9.4590899999999999E-4</v>
      </c>
      <c r="N12">
        <v>-437.3</v>
      </c>
      <c r="O12">
        <v>423.9</v>
      </c>
      <c r="P12" s="9">
        <v>-35748.224349999997</v>
      </c>
      <c r="Q12" s="1" t="s">
        <v>31</v>
      </c>
    </row>
    <row r="13" spans="1:20">
      <c r="B13" s="1">
        <v>2</v>
      </c>
      <c r="C13" s="1">
        <v>1</v>
      </c>
      <c r="D13" s="1">
        <v>1</v>
      </c>
      <c r="E13" s="1">
        <v>1</v>
      </c>
      <c r="F13" s="1">
        <v>1</v>
      </c>
      <c r="G13" s="1">
        <v>2</v>
      </c>
      <c r="H13" s="1">
        <v>4</v>
      </c>
      <c r="I13" s="1">
        <v>15</v>
      </c>
      <c r="J13" s="1">
        <v>101</v>
      </c>
      <c r="K13" s="1">
        <v>85</v>
      </c>
      <c r="L13">
        <v>19.524823380000001</v>
      </c>
      <c r="M13">
        <v>9.1082000000000001E-4</v>
      </c>
      <c r="N13">
        <v>-13.8</v>
      </c>
      <c r="O13">
        <v>17.8</v>
      </c>
      <c r="P13" s="9">
        <v>26261.938340000001</v>
      </c>
    </row>
    <row r="14" spans="1:20">
      <c r="B14" s="1">
        <v>2</v>
      </c>
      <c r="C14" s="1">
        <v>1</v>
      </c>
      <c r="D14" s="1">
        <v>1</v>
      </c>
      <c r="E14" s="1">
        <v>1</v>
      </c>
      <c r="F14" s="1">
        <v>3</v>
      </c>
      <c r="G14" s="1">
        <v>2</v>
      </c>
      <c r="H14" s="1">
        <v>4</v>
      </c>
      <c r="I14" s="1">
        <v>15</v>
      </c>
      <c r="J14" s="1">
        <v>144</v>
      </c>
      <c r="K14" s="1">
        <f>2766-2658</f>
        <v>108</v>
      </c>
      <c r="L14">
        <v>98.872</v>
      </c>
      <c r="M14">
        <v>9.5536799999999995E-4</v>
      </c>
      <c r="N14">
        <v>-92.9</v>
      </c>
      <c r="O14">
        <v>90.1</v>
      </c>
      <c r="P14" s="9">
        <v>-6508.314093</v>
      </c>
    </row>
    <row r="15" spans="1:20">
      <c r="B15" s="1">
        <v>2</v>
      </c>
      <c r="C15" s="1">
        <v>1</v>
      </c>
      <c r="D15" s="1">
        <v>1</v>
      </c>
      <c r="E15" s="1">
        <v>1</v>
      </c>
      <c r="F15" s="1">
        <v>1</v>
      </c>
      <c r="G15" s="1">
        <v>2</v>
      </c>
      <c r="H15" s="1">
        <v>4</v>
      </c>
      <c r="I15" s="1">
        <v>15</v>
      </c>
      <c r="J15" s="1">
        <v>165</v>
      </c>
      <c r="K15" s="1">
        <v>173</v>
      </c>
      <c r="L15">
        <v>3.0956000000000001</v>
      </c>
      <c r="M15">
        <v>9.64922E-4</v>
      </c>
      <c r="N15">
        <v>-2.9</v>
      </c>
      <c r="O15">
        <v>2.8</v>
      </c>
      <c r="P15" s="9">
        <v>-3.2509387329999999</v>
      </c>
    </row>
    <row r="16" spans="1:20" customFormat="1">
      <c r="A16" s="1"/>
      <c r="B16" s="1">
        <v>1</v>
      </c>
      <c r="C16" s="1">
        <v>1</v>
      </c>
      <c r="D16" s="1">
        <v>1</v>
      </c>
      <c r="E16" s="1">
        <v>1</v>
      </c>
      <c r="F16" s="1">
        <v>2</v>
      </c>
      <c r="G16" s="1">
        <v>2</v>
      </c>
      <c r="H16" s="1">
        <v>4</v>
      </c>
      <c r="I16" s="1">
        <v>15</v>
      </c>
      <c r="J16" s="1">
        <v>23</v>
      </c>
      <c r="K16" s="1">
        <v>221</v>
      </c>
      <c r="L16">
        <v>13.984854</v>
      </c>
      <c r="M16">
        <v>9.8431699999999996E-4</v>
      </c>
      <c r="N16">
        <v>-13.1</v>
      </c>
      <c r="O16">
        <v>12.9</v>
      </c>
      <c r="P16" s="9">
        <v>17556.633870000001</v>
      </c>
      <c r="Q16" s="1"/>
      <c r="R16" s="1"/>
      <c r="S16" s="1"/>
      <c r="T16" s="1"/>
    </row>
    <row r="17" spans="1:20" customFormat="1">
      <c r="A17" s="1"/>
      <c r="B17" s="1">
        <v>1</v>
      </c>
      <c r="C17" s="1">
        <v>1</v>
      </c>
      <c r="D17" s="1">
        <v>1</v>
      </c>
      <c r="E17" s="1">
        <v>1</v>
      </c>
      <c r="F17" s="1">
        <v>2</v>
      </c>
      <c r="G17" s="1">
        <v>2</v>
      </c>
      <c r="H17" s="1">
        <v>1</v>
      </c>
      <c r="I17" s="1">
        <v>20</v>
      </c>
      <c r="J17" s="1">
        <v>24</v>
      </c>
      <c r="K17" s="1">
        <f>2752-2707</f>
        <v>45</v>
      </c>
      <c r="L17">
        <v>13.984854</v>
      </c>
      <c r="M17">
        <v>9.7457100000000003E-4</v>
      </c>
      <c r="N17">
        <v>-13.1</v>
      </c>
      <c r="O17">
        <v>12.7</v>
      </c>
      <c r="P17" s="9">
        <v>6714.7290240000002</v>
      </c>
      <c r="Q17" s="1"/>
      <c r="R17" s="1"/>
      <c r="S17" s="1"/>
      <c r="T17" s="1"/>
    </row>
    <row r="18" spans="1:20" customFormat="1">
      <c r="A18" s="1"/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2</v>
      </c>
      <c r="H18" s="1">
        <v>4</v>
      </c>
      <c r="I18" s="1">
        <v>15</v>
      </c>
      <c r="J18" s="1">
        <v>250</v>
      </c>
      <c r="K18" s="1">
        <v>207</v>
      </c>
      <c r="L18">
        <v>56.661999999999999</v>
      </c>
      <c r="M18">
        <v>9.9416000000000001E-4</v>
      </c>
      <c r="N18">
        <v>-53.3</v>
      </c>
      <c r="O18">
        <v>51.6</v>
      </c>
      <c r="P18" s="9">
        <v>2094.3401560000002</v>
      </c>
      <c r="Q18" s="1"/>
      <c r="R18" s="1"/>
      <c r="S18" s="1"/>
      <c r="T18" s="1"/>
    </row>
    <row r="19" spans="1:20" customFormat="1">
      <c r="A19" s="1"/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2</v>
      </c>
      <c r="H19" s="1">
        <v>4</v>
      </c>
      <c r="I19" s="1">
        <v>15</v>
      </c>
      <c r="J19" s="1">
        <v>72</v>
      </c>
      <c r="K19" s="1">
        <v>304</v>
      </c>
      <c r="L19">
        <v>32.162911180000002</v>
      </c>
      <c r="M19">
        <v>1.004102E-3</v>
      </c>
      <c r="N19">
        <v>-30.2</v>
      </c>
      <c r="O19">
        <v>29.3</v>
      </c>
      <c r="P19" s="9">
        <v>808.71988180000005</v>
      </c>
      <c r="Q19" s="1"/>
      <c r="R19" s="1"/>
      <c r="S19" s="1"/>
      <c r="T19" s="1"/>
    </row>
    <row r="20" spans="1:20" customFormat="1">
      <c r="A20" s="1"/>
      <c r="B20" s="10">
        <v>1</v>
      </c>
      <c r="C20" s="1">
        <v>1</v>
      </c>
      <c r="D20" s="1">
        <v>1</v>
      </c>
      <c r="E20" s="1">
        <v>1</v>
      </c>
      <c r="F20" s="1">
        <v>2</v>
      </c>
      <c r="G20" s="10">
        <v>3</v>
      </c>
      <c r="H20" s="10">
        <v>4</v>
      </c>
      <c r="I20" s="1">
        <v>15</v>
      </c>
      <c r="J20" s="10">
        <v>75</v>
      </c>
      <c r="K20" s="10">
        <v>105</v>
      </c>
      <c r="L20">
        <v>76.128088840000004</v>
      </c>
      <c r="M20">
        <v>9.0899999999999998E-4</v>
      </c>
      <c r="N20">
        <v>-62.473622380000002</v>
      </c>
      <c r="O20">
        <v>68</v>
      </c>
      <c r="P20" s="9">
        <v>9472.2079940000003</v>
      </c>
      <c r="Q20" s="1"/>
      <c r="R20" s="1"/>
      <c r="S20" s="1"/>
      <c r="T20" s="1"/>
    </row>
    <row r="21" spans="1:20" customFormat="1">
      <c r="A21" s="1"/>
      <c r="B21" s="1">
        <v>1</v>
      </c>
      <c r="C21" s="1">
        <v>1</v>
      </c>
      <c r="D21" s="1">
        <v>1</v>
      </c>
      <c r="E21" s="1">
        <v>1</v>
      </c>
      <c r="F21" s="1">
        <v>2</v>
      </c>
      <c r="G21" s="1">
        <v>2</v>
      </c>
      <c r="H21" s="1">
        <v>4</v>
      </c>
      <c r="I21" s="1">
        <v>15</v>
      </c>
      <c r="J21" s="1">
        <v>123</v>
      </c>
      <c r="K21" s="1">
        <v>172</v>
      </c>
      <c r="L21">
        <v>16.128029999999999</v>
      </c>
      <c r="M21">
        <v>1.0141429999999999E-3</v>
      </c>
      <c r="N21">
        <v>-15.2</v>
      </c>
      <c r="O21">
        <v>14.8</v>
      </c>
      <c r="P21" s="9">
        <v>3794.3524940000002</v>
      </c>
      <c r="Q21" s="1"/>
      <c r="R21" s="1"/>
      <c r="S21" s="1"/>
      <c r="T21" s="1"/>
    </row>
    <row r="22" spans="1:20" customFormat="1">
      <c r="A22" s="1"/>
      <c r="B22" s="1">
        <v>1</v>
      </c>
      <c r="C22" s="1">
        <v>1</v>
      </c>
      <c r="D22" s="1">
        <v>1</v>
      </c>
      <c r="E22" s="1">
        <v>1</v>
      </c>
      <c r="F22" s="1">
        <v>3</v>
      </c>
      <c r="G22" s="1">
        <v>2</v>
      </c>
      <c r="H22" s="1">
        <v>4</v>
      </c>
      <c r="I22" s="1">
        <v>15</v>
      </c>
      <c r="J22" s="1">
        <v>149</v>
      </c>
      <c r="K22" s="1">
        <v>89</v>
      </c>
      <c r="L22">
        <v>145.27140929999999</v>
      </c>
      <c r="M22">
        <v>1.0242840000000001E-3</v>
      </c>
      <c r="N22">
        <v>-136.6</v>
      </c>
      <c r="O22">
        <v>132.4</v>
      </c>
      <c r="P22" s="9">
        <v>-3158.8543260000001</v>
      </c>
      <c r="Q22" s="1" t="s">
        <v>31</v>
      </c>
      <c r="R22" s="1"/>
      <c r="S22" s="1"/>
      <c r="T22" s="1"/>
    </row>
    <row r="23" spans="1:20" customFormat="1">
      <c r="A23" s="1"/>
      <c r="B23" s="1">
        <v>1</v>
      </c>
      <c r="C23" s="1">
        <v>1</v>
      </c>
      <c r="D23" s="1">
        <v>1</v>
      </c>
      <c r="E23" s="1">
        <v>1</v>
      </c>
      <c r="F23" s="1">
        <v>3</v>
      </c>
      <c r="G23" s="1">
        <v>2</v>
      </c>
      <c r="H23" s="1">
        <v>4</v>
      </c>
      <c r="I23" s="1">
        <v>15</v>
      </c>
      <c r="J23" s="1">
        <v>110</v>
      </c>
      <c r="K23" s="1">
        <v>89</v>
      </c>
      <c r="L23">
        <v>232.84800000000001</v>
      </c>
      <c r="M23">
        <v>1.0345269999999999E-3</v>
      </c>
      <c r="N23">
        <v>-218.9</v>
      </c>
      <c r="O23">
        <v>212.2</v>
      </c>
      <c r="P23" s="9">
        <v>12781.97356</v>
      </c>
      <c r="Q23" s="1"/>
      <c r="R23" s="1"/>
      <c r="S23" s="1"/>
      <c r="T23" s="1"/>
    </row>
    <row r="24" spans="1:20" customFormat="1">
      <c r="A24" s="1"/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2</v>
      </c>
      <c r="H24" s="1">
        <v>4</v>
      </c>
      <c r="I24" s="1">
        <v>15</v>
      </c>
      <c r="J24" s="1">
        <v>268</v>
      </c>
      <c r="K24" s="1">
        <v>255</v>
      </c>
      <c r="L24">
        <v>46.581437999999999</v>
      </c>
      <c r="M24">
        <v>1.0448720000000001E-3</v>
      </c>
      <c r="N24">
        <v>-43.8</v>
      </c>
      <c r="O24">
        <v>42.7</v>
      </c>
      <c r="P24" s="9">
        <v>8093.5475219999998</v>
      </c>
      <c r="Q24" s="1"/>
      <c r="R24" s="1"/>
      <c r="S24" s="1"/>
      <c r="T24" s="1"/>
    </row>
    <row r="25" spans="1:20" customFormat="1">
      <c r="A25" s="1"/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3</v>
      </c>
      <c r="I25" s="1">
        <v>15</v>
      </c>
      <c r="J25" s="1">
        <v>125</v>
      </c>
      <c r="K25" s="1">
        <v>80</v>
      </c>
      <c r="L25">
        <v>129.45599999999999</v>
      </c>
      <c r="M25">
        <v>1.0553209999999999E-3</v>
      </c>
      <c r="N25">
        <v>-121.7</v>
      </c>
      <c r="O25">
        <v>117.9</v>
      </c>
      <c r="P25" s="9">
        <v>18753.549900000002</v>
      </c>
      <c r="Q25" s="1"/>
      <c r="R25" s="1"/>
      <c r="S25" s="1"/>
      <c r="T25" s="1"/>
    </row>
    <row r="26" spans="1:20" customFormat="1">
      <c r="A26" s="1"/>
      <c r="B26" s="1">
        <v>1</v>
      </c>
      <c r="C26" s="1">
        <v>1</v>
      </c>
      <c r="D26" s="1">
        <v>1</v>
      </c>
      <c r="E26" s="1">
        <v>1</v>
      </c>
      <c r="F26" s="1">
        <v>2</v>
      </c>
      <c r="G26" s="1">
        <v>2</v>
      </c>
      <c r="H26" s="1">
        <v>3</v>
      </c>
      <c r="I26" s="1">
        <v>15</v>
      </c>
      <c r="J26" s="1">
        <v>118</v>
      </c>
      <c r="K26" s="1">
        <v>123</v>
      </c>
      <c r="L26">
        <v>93.172287440000005</v>
      </c>
      <c r="M26">
        <v>9.0212799999999998E-4</v>
      </c>
      <c r="N26">
        <v>-74.599999999999994</v>
      </c>
      <c r="O26">
        <v>94.4</v>
      </c>
      <c r="P26" s="9">
        <v>8730.7029390000007</v>
      </c>
      <c r="Q26" s="1"/>
      <c r="R26" s="1"/>
      <c r="S26" s="1"/>
      <c r="T26" s="1"/>
    </row>
    <row r="27" spans="1:20" customFormat="1">
      <c r="A27" s="1"/>
      <c r="B27" s="1">
        <v>2</v>
      </c>
      <c r="C27" s="1">
        <v>1</v>
      </c>
      <c r="D27" s="1">
        <v>1</v>
      </c>
      <c r="E27" s="1">
        <v>1</v>
      </c>
      <c r="F27" s="1">
        <v>1</v>
      </c>
      <c r="G27" s="1">
        <v>2</v>
      </c>
      <c r="H27" s="1">
        <v>3</v>
      </c>
      <c r="I27" s="1">
        <v>15</v>
      </c>
      <c r="J27" s="1">
        <v>113</v>
      </c>
      <c r="K27" s="1">
        <v>90</v>
      </c>
      <c r="L27">
        <v>37.728656440000002</v>
      </c>
      <c r="M27">
        <v>4.2548100000000004E-3</v>
      </c>
      <c r="N27">
        <v>-42.3</v>
      </c>
      <c r="O27">
        <v>28.8</v>
      </c>
      <c r="P27" s="9">
        <v>44945.158320000002</v>
      </c>
      <c r="Q27" s="1"/>
      <c r="R27" s="1"/>
      <c r="S27" s="1"/>
      <c r="T27" s="1"/>
    </row>
    <row r="28" spans="1:20" customFormat="1">
      <c r="A28" s="1"/>
      <c r="B28" s="1">
        <v>2</v>
      </c>
      <c r="C28" s="1">
        <v>1</v>
      </c>
      <c r="D28" s="1">
        <v>2</v>
      </c>
      <c r="E28" s="1">
        <v>2</v>
      </c>
      <c r="F28" s="1">
        <v>1</v>
      </c>
      <c r="G28" s="1">
        <v>2</v>
      </c>
      <c r="H28" s="1">
        <v>4</v>
      </c>
      <c r="I28" s="1">
        <v>15</v>
      </c>
      <c r="J28" s="1">
        <v>450</v>
      </c>
      <c r="K28" s="1">
        <v>1349</v>
      </c>
      <c r="L28">
        <v>137.04995600000001</v>
      </c>
      <c r="M28">
        <v>1.0658740000000001E-3</v>
      </c>
      <c r="N28">
        <v>-123.6</v>
      </c>
      <c r="O28">
        <v>127.1</v>
      </c>
      <c r="P28" s="9">
        <v>9190.2231159999992</v>
      </c>
      <c r="Q28" s="1"/>
      <c r="R28" s="1"/>
      <c r="S28" s="1"/>
      <c r="T28" s="1"/>
    </row>
    <row r="29" spans="1:20" customFormat="1">
      <c r="A29" s="1"/>
      <c r="B29" s="1">
        <v>2</v>
      </c>
      <c r="C29" s="1">
        <v>1</v>
      </c>
      <c r="D29" s="1">
        <v>2</v>
      </c>
      <c r="E29" s="1">
        <v>2</v>
      </c>
      <c r="F29" s="1">
        <v>1</v>
      </c>
      <c r="G29" s="1">
        <v>2</v>
      </c>
      <c r="H29" s="1">
        <v>4</v>
      </c>
      <c r="I29" s="1">
        <v>15</v>
      </c>
      <c r="J29" s="1">
        <v>673</v>
      </c>
      <c r="K29" s="1">
        <v>1895</v>
      </c>
      <c r="L29">
        <v>151.82358400000001</v>
      </c>
      <c r="M29">
        <v>1.076533E-3</v>
      </c>
      <c r="N29">
        <v>-123.9</v>
      </c>
      <c r="O29">
        <v>137</v>
      </c>
      <c r="P29" s="9">
        <v>22288.578679999999</v>
      </c>
      <c r="Q29" s="1"/>
      <c r="R29" s="1"/>
      <c r="S29" s="1"/>
      <c r="T29" s="1"/>
    </row>
    <row r="30" spans="1:20" customFormat="1">
      <c r="A30" s="1"/>
      <c r="B30" s="1">
        <v>2</v>
      </c>
      <c r="C30" s="1">
        <v>1</v>
      </c>
      <c r="D30" s="1">
        <v>2</v>
      </c>
      <c r="E30" s="1">
        <v>2</v>
      </c>
      <c r="F30" s="1">
        <v>1</v>
      </c>
      <c r="G30" s="1">
        <v>1</v>
      </c>
      <c r="H30" s="1">
        <v>4</v>
      </c>
      <c r="I30" s="1">
        <v>15</v>
      </c>
      <c r="J30" s="1">
        <v>648</v>
      </c>
      <c r="K30" s="1">
        <v>1441</v>
      </c>
      <c r="L30">
        <v>37.417439999999999</v>
      </c>
      <c r="M30">
        <v>1.087298E-3</v>
      </c>
      <c r="N30">
        <v>-35.200000000000003</v>
      </c>
      <c r="O30">
        <v>34.1</v>
      </c>
      <c r="P30" s="9">
        <v>11809.220859999999</v>
      </c>
      <c r="Q30" s="1"/>
      <c r="R30" s="1"/>
      <c r="S30" s="1"/>
      <c r="T30" s="1"/>
    </row>
    <row r="31" spans="1:20" customFormat="1">
      <c r="A31" s="1"/>
      <c r="B31" s="1">
        <v>2</v>
      </c>
      <c r="C31" s="1">
        <v>1</v>
      </c>
      <c r="D31" s="1">
        <v>2</v>
      </c>
      <c r="E31" s="1">
        <v>2</v>
      </c>
      <c r="F31" s="1">
        <v>1</v>
      </c>
      <c r="G31" s="1">
        <v>3</v>
      </c>
      <c r="H31" s="1">
        <v>4</v>
      </c>
      <c r="I31" s="1">
        <v>15</v>
      </c>
      <c r="J31" s="1">
        <v>657</v>
      </c>
      <c r="K31" s="1">
        <f>8438-6600</f>
        <v>1838</v>
      </c>
      <c r="L31">
        <v>69.539120999999994</v>
      </c>
      <c r="M31">
        <v>2.7065259999999999E-3</v>
      </c>
      <c r="N31">
        <v>-64.2</v>
      </c>
      <c r="O31">
        <v>55.7</v>
      </c>
      <c r="P31" s="9">
        <v>16754.69153</v>
      </c>
      <c r="Q31" s="1"/>
      <c r="R31" s="1"/>
      <c r="S31" s="1"/>
      <c r="T31" s="1"/>
    </row>
    <row r="32" spans="1:20" customFormat="1">
      <c r="A32" s="1"/>
      <c r="B32" s="1">
        <v>2</v>
      </c>
      <c r="C32" s="1">
        <v>1</v>
      </c>
      <c r="D32" s="1">
        <v>2</v>
      </c>
      <c r="E32" s="1">
        <v>2</v>
      </c>
      <c r="F32" s="1">
        <v>1</v>
      </c>
      <c r="G32" s="1">
        <v>3</v>
      </c>
      <c r="H32" s="1">
        <v>4</v>
      </c>
      <c r="I32" s="1">
        <v>15</v>
      </c>
      <c r="J32" s="1">
        <v>758</v>
      </c>
      <c r="K32" s="1">
        <v>2122</v>
      </c>
      <c r="L32">
        <v>183.94242700000001</v>
      </c>
      <c r="M32">
        <v>1.098171E-3</v>
      </c>
      <c r="N32">
        <v>-172.9</v>
      </c>
      <c r="O32">
        <v>167.6</v>
      </c>
      <c r="P32" s="9">
        <v>10375.14993</v>
      </c>
      <c r="Q32" s="1"/>
      <c r="R32" s="1"/>
      <c r="S32" s="1"/>
      <c r="T32" s="1"/>
    </row>
    <row r="33" spans="1:20" customFormat="1">
      <c r="A33" s="1"/>
      <c r="B33" s="1">
        <v>2</v>
      </c>
      <c r="C33" s="1">
        <v>1</v>
      </c>
      <c r="D33" s="1">
        <v>2</v>
      </c>
      <c r="E33" s="1">
        <v>2</v>
      </c>
      <c r="F33" s="1">
        <v>1</v>
      </c>
      <c r="G33" s="1">
        <v>3</v>
      </c>
      <c r="H33" s="1">
        <v>4</v>
      </c>
      <c r="I33" s="1">
        <v>15</v>
      </c>
      <c r="J33" s="1">
        <v>811</v>
      </c>
      <c r="K33" s="1">
        <v>1703</v>
      </c>
      <c r="L33">
        <v>530.78472999999997</v>
      </c>
      <c r="M33">
        <v>1.1091530000000001E-3</v>
      </c>
      <c r="N33">
        <v>-509.1</v>
      </c>
      <c r="O33">
        <v>469.2</v>
      </c>
      <c r="P33" s="9">
        <v>99243.682430000001</v>
      </c>
      <c r="Q33" s="1"/>
      <c r="R33" s="1"/>
      <c r="S33" s="1"/>
      <c r="T33" s="1"/>
    </row>
    <row r="34" spans="1:20" customFormat="1">
      <c r="A34" s="1"/>
      <c r="B34" s="1">
        <v>2</v>
      </c>
      <c r="C34" s="1">
        <v>1</v>
      </c>
      <c r="D34" s="1">
        <v>2</v>
      </c>
      <c r="E34" s="1">
        <v>2</v>
      </c>
      <c r="F34" s="1">
        <v>1</v>
      </c>
      <c r="G34" s="1">
        <v>1</v>
      </c>
      <c r="H34" s="1">
        <v>4</v>
      </c>
      <c r="I34" s="1">
        <v>15</v>
      </c>
      <c r="J34" s="1">
        <v>550</v>
      </c>
      <c r="K34" s="1">
        <v>1641</v>
      </c>
      <c r="L34">
        <v>361.06241219999998</v>
      </c>
      <c r="M34">
        <v>2.3529340000000001E-3</v>
      </c>
      <c r="N34">
        <v>-301.10000000000002</v>
      </c>
      <c r="O34">
        <v>285.7</v>
      </c>
      <c r="P34" s="9">
        <v>-2574.0868300000002</v>
      </c>
      <c r="Q34" s="1"/>
      <c r="R34" s="1"/>
      <c r="S34" s="1"/>
      <c r="T34" s="1"/>
    </row>
    <row r="35" spans="1:20" customFormat="1">
      <c r="A35" s="1"/>
      <c r="B35" s="1">
        <v>2</v>
      </c>
      <c r="C35" s="1">
        <v>1</v>
      </c>
      <c r="D35" s="1">
        <v>2</v>
      </c>
      <c r="E35" s="1">
        <v>2</v>
      </c>
      <c r="F35" s="1">
        <v>1</v>
      </c>
      <c r="G35" s="1">
        <v>1</v>
      </c>
      <c r="H35" s="1">
        <v>4</v>
      </c>
      <c r="I35" s="1">
        <v>15</v>
      </c>
      <c r="J35" s="1">
        <v>684</v>
      </c>
      <c r="K35" s="1">
        <v>1920</v>
      </c>
      <c r="L35">
        <v>116.584</v>
      </c>
      <c r="M35">
        <v>1.1202440000000001E-3</v>
      </c>
      <c r="N35">
        <v>-109.6</v>
      </c>
      <c r="O35">
        <v>106.2</v>
      </c>
      <c r="P35" s="9">
        <v>18866.72378</v>
      </c>
      <c r="Q35" s="1"/>
      <c r="R35" s="1"/>
      <c r="S35" s="1"/>
      <c r="T35" s="1"/>
    </row>
    <row r="36" spans="1:20" customFormat="1">
      <c r="A36" s="1"/>
      <c r="B36" s="1">
        <v>2</v>
      </c>
      <c r="C36" s="1">
        <v>1</v>
      </c>
      <c r="D36" s="1">
        <v>2</v>
      </c>
      <c r="E36" s="1">
        <v>1</v>
      </c>
      <c r="F36" s="1">
        <v>1</v>
      </c>
      <c r="G36" s="1">
        <v>1</v>
      </c>
      <c r="H36" s="1">
        <v>1</v>
      </c>
      <c r="I36" s="1">
        <v>15</v>
      </c>
      <c r="J36" s="1">
        <v>35</v>
      </c>
      <c r="K36" s="1">
        <v>10</v>
      </c>
      <c r="L36">
        <v>46.919991189999998</v>
      </c>
      <c r="M36">
        <v>1.132178E-3</v>
      </c>
      <c r="N36">
        <v>-44.1</v>
      </c>
      <c r="O36">
        <v>42.7</v>
      </c>
      <c r="P36" s="9">
        <v>12842.856229999999</v>
      </c>
      <c r="Q36" s="1"/>
      <c r="R36" s="1"/>
      <c r="S36" s="1"/>
      <c r="T36" s="1"/>
    </row>
    <row r="37" spans="1:20" customFormat="1">
      <c r="A37" s="1"/>
      <c r="B37" s="10">
        <v>2</v>
      </c>
      <c r="C37" s="1">
        <v>1</v>
      </c>
      <c r="D37" s="1">
        <v>2</v>
      </c>
      <c r="E37" s="10">
        <v>2</v>
      </c>
      <c r="F37" s="1">
        <v>1</v>
      </c>
      <c r="G37" s="10">
        <v>3</v>
      </c>
      <c r="H37" s="10">
        <v>4</v>
      </c>
      <c r="I37" s="1">
        <v>15</v>
      </c>
      <c r="J37" s="10">
        <v>1214</v>
      </c>
      <c r="K37" s="10">
        <v>3114</v>
      </c>
      <c r="L37">
        <v>612.57133369999997</v>
      </c>
      <c r="M37">
        <v>9.00263E-4</v>
      </c>
      <c r="N37">
        <v>-541.58441359999995</v>
      </c>
      <c r="O37">
        <v>569.5</v>
      </c>
      <c r="P37" s="9">
        <v>73246.64172</v>
      </c>
      <c r="Q37" s="1"/>
      <c r="R37" s="1"/>
      <c r="S37" s="1"/>
      <c r="T37" s="1"/>
    </row>
    <row r="38" spans="1:20" customFormat="1">
      <c r="A38" s="1"/>
      <c r="B38" s="1">
        <v>2</v>
      </c>
      <c r="C38" s="1">
        <v>1</v>
      </c>
      <c r="D38" s="1">
        <v>2</v>
      </c>
      <c r="E38" s="1">
        <v>1</v>
      </c>
      <c r="F38" s="1">
        <v>1</v>
      </c>
      <c r="G38" s="1">
        <v>2</v>
      </c>
      <c r="H38" s="1">
        <v>1</v>
      </c>
      <c r="I38" s="1">
        <v>15</v>
      </c>
      <c r="J38" s="1">
        <v>8</v>
      </c>
      <c r="K38" s="1">
        <v>10</v>
      </c>
      <c r="L38">
        <v>69.711618000000001</v>
      </c>
      <c r="M38">
        <v>1.1314470000000001E-3</v>
      </c>
      <c r="N38">
        <v>-22.5</v>
      </c>
      <c r="O38">
        <v>57</v>
      </c>
      <c r="P38" s="9">
        <v>7333.0344050000003</v>
      </c>
      <c r="Q38" s="1"/>
      <c r="R38" s="1"/>
      <c r="S38" s="1"/>
      <c r="T38" s="1"/>
    </row>
    <row r="39" spans="1:20" customFormat="1">
      <c r="A39" s="1"/>
      <c r="B39" s="1">
        <v>2</v>
      </c>
      <c r="C39" s="1">
        <v>1</v>
      </c>
      <c r="D39" s="1">
        <v>2</v>
      </c>
      <c r="E39" s="1">
        <v>2</v>
      </c>
      <c r="F39" s="1">
        <v>1</v>
      </c>
      <c r="G39" s="1">
        <v>1</v>
      </c>
      <c r="H39" s="1">
        <v>4</v>
      </c>
      <c r="I39" s="1">
        <v>20</v>
      </c>
      <c r="J39" s="1">
        <v>899</v>
      </c>
      <c r="K39" s="1">
        <v>2365</v>
      </c>
      <c r="L39">
        <v>238.68109999999999</v>
      </c>
      <c r="M39">
        <v>1.142761E-3</v>
      </c>
      <c r="N39">
        <v>-224.4</v>
      </c>
      <c r="O39">
        <v>217.5</v>
      </c>
      <c r="P39" s="9">
        <v>12117.857540000001</v>
      </c>
      <c r="Q39" s="1"/>
      <c r="R39" s="1"/>
      <c r="S39" s="1"/>
      <c r="T39" s="1"/>
    </row>
    <row r="40" spans="1:20" customFormat="1">
      <c r="A40" s="1"/>
      <c r="B40" s="10">
        <v>2</v>
      </c>
      <c r="C40" s="1">
        <v>1</v>
      </c>
      <c r="D40" s="1">
        <v>2</v>
      </c>
      <c r="E40" s="10">
        <v>2</v>
      </c>
      <c r="F40" s="1">
        <v>1</v>
      </c>
      <c r="G40" s="10">
        <v>3</v>
      </c>
      <c r="H40" s="10">
        <v>4</v>
      </c>
      <c r="I40" s="1">
        <v>15</v>
      </c>
      <c r="J40" s="10">
        <v>845</v>
      </c>
      <c r="K40" s="10">
        <v>2365</v>
      </c>
      <c r="L40">
        <v>189.98474529999999</v>
      </c>
      <c r="M40">
        <v>5.0000000000000001E-3</v>
      </c>
      <c r="N40">
        <v>-312.3509128</v>
      </c>
      <c r="O40">
        <v>125.5</v>
      </c>
      <c r="P40" s="9">
        <v>-2353.8521460000002</v>
      </c>
      <c r="Q40" s="1"/>
      <c r="R40" s="1"/>
      <c r="S40" s="1"/>
      <c r="T40" s="1"/>
    </row>
    <row r="41" spans="1:20" customFormat="1">
      <c r="A41" s="1"/>
      <c r="B41" s="10">
        <v>2</v>
      </c>
      <c r="C41" s="1">
        <v>1</v>
      </c>
      <c r="D41" s="1">
        <v>2</v>
      </c>
      <c r="E41" s="10">
        <v>2</v>
      </c>
      <c r="F41" s="1">
        <v>1</v>
      </c>
      <c r="G41" s="10">
        <v>3</v>
      </c>
      <c r="H41" s="10">
        <v>2</v>
      </c>
      <c r="I41" s="1">
        <v>15</v>
      </c>
      <c r="J41" s="10">
        <v>615</v>
      </c>
      <c r="K41" s="10">
        <v>2365</v>
      </c>
      <c r="L41">
        <v>351.89024339999997</v>
      </c>
      <c r="M41">
        <v>2.0411079999999998E-3</v>
      </c>
      <c r="N41">
        <v>-345.620498</v>
      </c>
      <c r="O41">
        <v>288</v>
      </c>
      <c r="P41" s="9">
        <v>8205.1951609999996</v>
      </c>
      <c r="Q41" s="1"/>
      <c r="R41" s="1"/>
      <c r="S41" s="1"/>
      <c r="T41" s="1"/>
    </row>
    <row r="42" spans="1:20" customFormat="1">
      <c r="A42" s="1"/>
      <c r="B42" s="1">
        <v>1</v>
      </c>
      <c r="C42" s="1">
        <v>1</v>
      </c>
      <c r="D42" s="1">
        <v>3</v>
      </c>
      <c r="E42" s="1">
        <v>2</v>
      </c>
      <c r="F42" s="1">
        <v>1</v>
      </c>
      <c r="G42" s="1">
        <v>3</v>
      </c>
      <c r="H42" s="1">
        <v>4</v>
      </c>
      <c r="I42" s="1">
        <v>15</v>
      </c>
      <c r="J42" s="11">
        <v>717</v>
      </c>
      <c r="K42" s="1">
        <v>1204</v>
      </c>
      <c r="L42">
        <v>195.42403619999999</v>
      </c>
      <c r="M42">
        <v>2.9121989999999999E-3</v>
      </c>
      <c r="N42">
        <v>-187.9</v>
      </c>
      <c r="O42">
        <v>147.69999999999999</v>
      </c>
      <c r="P42" s="9">
        <v>93451.772450000004</v>
      </c>
      <c r="Q42" s="1"/>
      <c r="R42" s="1"/>
      <c r="S42" s="1"/>
      <c r="T42" s="1"/>
    </row>
    <row r="43" spans="1:20" customFormat="1">
      <c r="A43" s="1"/>
      <c r="B43" s="1">
        <v>1</v>
      </c>
      <c r="C43" s="1">
        <v>1</v>
      </c>
      <c r="D43" s="1">
        <v>3</v>
      </c>
      <c r="E43" s="1">
        <v>2</v>
      </c>
      <c r="F43" s="1">
        <v>1</v>
      </c>
      <c r="G43" s="1">
        <v>2</v>
      </c>
      <c r="H43" s="1">
        <v>4</v>
      </c>
      <c r="I43" s="1">
        <v>15</v>
      </c>
      <c r="J43" s="1">
        <v>1000</v>
      </c>
      <c r="K43" s="1">
        <v>1400</v>
      </c>
      <c r="L43">
        <v>293.44758300000001</v>
      </c>
      <c r="M43">
        <v>5.0000000000000001E-3</v>
      </c>
      <c r="N43">
        <v>-274.8</v>
      </c>
      <c r="O43">
        <v>148.5</v>
      </c>
      <c r="P43" s="9">
        <v>55493.299800000001</v>
      </c>
      <c r="Q43" s="1"/>
      <c r="R43" s="1"/>
      <c r="S43" s="1"/>
      <c r="T43" s="1"/>
    </row>
    <row r="44" spans="1:20" customFormat="1">
      <c r="A44" s="1"/>
      <c r="B44" s="1">
        <v>1</v>
      </c>
      <c r="C44" s="1">
        <v>1</v>
      </c>
      <c r="D44" s="1">
        <v>3</v>
      </c>
      <c r="E44" s="1">
        <v>2</v>
      </c>
      <c r="F44" s="1">
        <v>1</v>
      </c>
      <c r="G44" s="1">
        <v>2</v>
      </c>
      <c r="H44" s="1">
        <v>4</v>
      </c>
      <c r="I44" s="1">
        <v>15</v>
      </c>
      <c r="J44" s="1">
        <v>650</v>
      </c>
      <c r="K44" s="1">
        <v>1300</v>
      </c>
      <c r="L44">
        <v>466.3384848</v>
      </c>
      <c r="M44">
        <v>9.0152799999999996E-4</v>
      </c>
      <c r="N44">
        <v>-128</v>
      </c>
      <c r="O44">
        <v>371.2</v>
      </c>
      <c r="P44" s="9">
        <v>-15265.472820000001</v>
      </c>
      <c r="Q44" s="1"/>
      <c r="R44" s="1"/>
      <c r="S44" s="1"/>
      <c r="T44" s="1"/>
    </row>
    <row r="45" spans="1:20" customFormat="1">
      <c r="A45" s="1"/>
      <c r="B45" s="1">
        <v>1</v>
      </c>
      <c r="C45" s="1">
        <v>1</v>
      </c>
      <c r="D45" s="1">
        <v>3</v>
      </c>
      <c r="E45" s="1">
        <v>2</v>
      </c>
      <c r="F45" s="1">
        <v>1</v>
      </c>
      <c r="G45" s="1">
        <v>2</v>
      </c>
      <c r="H45" s="1">
        <v>4</v>
      </c>
      <c r="I45" s="1">
        <v>15</v>
      </c>
      <c r="J45" s="1">
        <v>440</v>
      </c>
      <c r="K45" s="1">
        <v>1320</v>
      </c>
      <c r="L45">
        <v>282.62417900000003</v>
      </c>
      <c r="M45">
        <v>3.9929709999999997E-3</v>
      </c>
      <c r="N45">
        <v>-273.2</v>
      </c>
      <c r="O45">
        <v>204.2</v>
      </c>
      <c r="P45" s="9">
        <v>3141.6001540000002</v>
      </c>
      <c r="Q45" s="1"/>
      <c r="R45" s="1"/>
      <c r="S45" s="1"/>
      <c r="T45" s="1"/>
    </row>
    <row r="46" spans="1:20" customFormat="1">
      <c r="A46" s="1"/>
      <c r="B46" s="1">
        <v>1</v>
      </c>
      <c r="C46" s="1">
        <v>1</v>
      </c>
      <c r="D46" s="1">
        <v>3</v>
      </c>
      <c r="E46" s="1">
        <v>2</v>
      </c>
      <c r="F46" s="1">
        <v>1</v>
      </c>
      <c r="G46" s="1">
        <v>3</v>
      </c>
      <c r="H46" s="1">
        <v>4</v>
      </c>
      <c r="I46" s="1">
        <v>20</v>
      </c>
      <c r="J46" s="1">
        <v>942</v>
      </c>
      <c r="K46" s="1">
        <v>1320</v>
      </c>
      <c r="L46">
        <v>179.19259289999999</v>
      </c>
      <c r="M46">
        <v>1.577792E-3</v>
      </c>
      <c r="N46">
        <v>-87.3</v>
      </c>
      <c r="O46">
        <v>154.6</v>
      </c>
      <c r="P46" s="9">
        <v>10637.12494</v>
      </c>
      <c r="Q46" s="1"/>
      <c r="R46" s="1"/>
      <c r="S46" s="1"/>
      <c r="T46" s="1"/>
    </row>
    <row r="47" spans="1:20" customFormat="1">
      <c r="A47" s="1"/>
      <c r="B47" s="1">
        <v>1</v>
      </c>
      <c r="C47" s="1">
        <v>1</v>
      </c>
      <c r="D47" s="1">
        <v>3</v>
      </c>
      <c r="E47" s="1">
        <v>2</v>
      </c>
      <c r="F47" s="1">
        <v>1</v>
      </c>
      <c r="G47" s="1">
        <v>2</v>
      </c>
      <c r="H47" s="1">
        <v>4</v>
      </c>
      <c r="I47" s="1">
        <v>15</v>
      </c>
      <c r="J47" s="1">
        <v>928</v>
      </c>
      <c r="K47" s="1">
        <v>1299</v>
      </c>
      <c r="L47">
        <v>318.7285938</v>
      </c>
      <c r="M47">
        <v>9.6502000000000003E-4</v>
      </c>
      <c r="N47">
        <v>-288.60000000000002</v>
      </c>
      <c r="O47">
        <v>290.10000000000002</v>
      </c>
      <c r="P47" s="9">
        <v>-9293.3073170000007</v>
      </c>
      <c r="Q47" s="1"/>
      <c r="R47" s="1"/>
      <c r="S47" s="1"/>
      <c r="T47" s="1"/>
    </row>
    <row r="48" spans="1:20" customFormat="1">
      <c r="A48" s="1"/>
      <c r="B48" s="1">
        <v>1</v>
      </c>
      <c r="C48" s="1">
        <v>1</v>
      </c>
      <c r="D48" s="1">
        <v>3</v>
      </c>
      <c r="E48" s="1">
        <v>2</v>
      </c>
      <c r="F48" s="1">
        <v>3</v>
      </c>
      <c r="G48" s="1">
        <v>3</v>
      </c>
      <c r="H48" s="1">
        <v>4</v>
      </c>
      <c r="I48" s="1">
        <v>20</v>
      </c>
      <c r="J48" s="1">
        <v>543</v>
      </c>
      <c r="K48" s="1">
        <v>1520</v>
      </c>
      <c r="L48">
        <v>184.75887109999999</v>
      </c>
      <c r="M48">
        <v>1.1541889999999999E-3</v>
      </c>
      <c r="N48">
        <v>-173.7</v>
      </c>
      <c r="O48">
        <v>168.3</v>
      </c>
      <c r="P48" s="9">
        <v>-6347.6572489999999</v>
      </c>
      <c r="Q48" s="1" t="s">
        <v>31</v>
      </c>
      <c r="R48" s="1"/>
      <c r="S48" s="1"/>
      <c r="T48" s="1"/>
    </row>
    <row r="49" spans="1:20" customFormat="1">
      <c r="A49" s="1"/>
      <c r="B49" s="10">
        <v>1</v>
      </c>
      <c r="C49" s="1">
        <v>1</v>
      </c>
      <c r="D49" s="1">
        <v>3</v>
      </c>
      <c r="E49" s="1">
        <v>2</v>
      </c>
      <c r="F49" s="1">
        <v>1</v>
      </c>
      <c r="G49" s="10">
        <v>3</v>
      </c>
      <c r="H49" s="10">
        <v>4</v>
      </c>
      <c r="I49" s="1">
        <v>15</v>
      </c>
      <c r="J49" s="10">
        <v>676</v>
      </c>
      <c r="K49" s="10">
        <v>1418</v>
      </c>
      <c r="L49">
        <v>437.10967749999998</v>
      </c>
      <c r="M49">
        <v>1.6130890000000001E-3</v>
      </c>
      <c r="N49">
        <v>-352.46551140000003</v>
      </c>
      <c r="O49">
        <v>372.2</v>
      </c>
      <c r="P49" s="9">
        <v>49646.753810000002</v>
      </c>
      <c r="Q49" s="1"/>
      <c r="R49" s="1"/>
      <c r="S49" s="1"/>
      <c r="T49" s="1"/>
    </row>
    <row r="50" spans="1:20" customFormat="1">
      <c r="A50" s="1"/>
      <c r="B50" s="1">
        <v>1</v>
      </c>
      <c r="C50" s="1">
        <v>1</v>
      </c>
      <c r="D50" s="1">
        <v>3</v>
      </c>
      <c r="E50" s="1">
        <v>2</v>
      </c>
      <c r="F50" s="1">
        <v>1</v>
      </c>
      <c r="G50" s="1">
        <v>2</v>
      </c>
      <c r="H50" s="1">
        <v>4</v>
      </c>
      <c r="I50" s="1">
        <v>15</v>
      </c>
      <c r="J50" s="1">
        <v>342</v>
      </c>
      <c r="K50" s="1">
        <v>1026</v>
      </c>
      <c r="L50">
        <v>468.47213579999999</v>
      </c>
      <c r="M50">
        <v>2.7767009999999999E-3</v>
      </c>
      <c r="N50">
        <v>-436.1</v>
      </c>
      <c r="O50">
        <v>375</v>
      </c>
      <c r="P50" s="9">
        <v>4677.4579890000005</v>
      </c>
      <c r="Q50" s="1"/>
      <c r="R50" s="1"/>
      <c r="S50" s="1"/>
      <c r="T50" s="1"/>
    </row>
    <row r="51" spans="1:20" customFormat="1">
      <c r="A51" s="1"/>
      <c r="B51" s="1">
        <v>1</v>
      </c>
      <c r="C51" s="1">
        <v>1</v>
      </c>
      <c r="D51" s="1">
        <v>3</v>
      </c>
      <c r="E51" s="1">
        <v>2</v>
      </c>
      <c r="F51" s="1">
        <v>1</v>
      </c>
      <c r="G51" s="1">
        <v>2</v>
      </c>
      <c r="H51" s="1">
        <v>4</v>
      </c>
      <c r="I51" s="1">
        <v>15</v>
      </c>
      <c r="J51" s="1">
        <v>1017</v>
      </c>
      <c r="K51" s="1">
        <v>1002</v>
      </c>
      <c r="L51">
        <v>499.07682490000002</v>
      </c>
      <c r="M51">
        <v>4.9500000000000004E-3</v>
      </c>
      <c r="N51">
        <v>77.400000000000006</v>
      </c>
      <c r="O51">
        <v>364.6</v>
      </c>
      <c r="P51" s="9">
        <v>72618.31551</v>
      </c>
      <c r="Q51" s="1"/>
      <c r="R51" s="1"/>
      <c r="S51" s="1"/>
      <c r="T51" s="1"/>
    </row>
    <row r="52" spans="1:20" customFormat="1">
      <c r="A52" s="1"/>
      <c r="B52" s="1">
        <v>1</v>
      </c>
      <c r="C52" s="1">
        <v>1</v>
      </c>
      <c r="D52" s="1">
        <v>3</v>
      </c>
      <c r="E52" s="1">
        <v>2</v>
      </c>
      <c r="F52" s="1">
        <v>1</v>
      </c>
      <c r="G52" s="1">
        <v>2</v>
      </c>
      <c r="H52" s="1">
        <v>4</v>
      </c>
      <c r="I52" s="1">
        <v>15</v>
      </c>
      <c r="J52" s="1">
        <v>539</v>
      </c>
      <c r="K52" s="1">
        <v>1404</v>
      </c>
      <c r="L52">
        <v>380.63753050000003</v>
      </c>
      <c r="M52">
        <v>1.6494540000000001E-3</v>
      </c>
      <c r="N52">
        <v>-364</v>
      </c>
      <c r="O52">
        <v>319.5</v>
      </c>
      <c r="P52" s="9">
        <v>31746.501629999999</v>
      </c>
      <c r="Q52" s="1"/>
      <c r="R52" s="1"/>
      <c r="S52" s="1"/>
      <c r="T52" s="1"/>
    </row>
    <row r="53" spans="1:20" customFormat="1">
      <c r="A53" s="1"/>
      <c r="B53" s="1">
        <v>1</v>
      </c>
      <c r="C53" s="1">
        <v>1</v>
      </c>
      <c r="D53" s="1">
        <v>3</v>
      </c>
      <c r="E53" s="1">
        <v>2</v>
      </c>
      <c r="F53" s="1">
        <v>1</v>
      </c>
      <c r="G53" s="1">
        <v>2</v>
      </c>
      <c r="H53" s="1">
        <v>4</v>
      </c>
      <c r="I53" s="1">
        <v>15</v>
      </c>
      <c r="J53" s="1">
        <v>315</v>
      </c>
      <c r="K53" s="1">
        <v>1452</v>
      </c>
      <c r="L53">
        <v>386.63360829999999</v>
      </c>
      <c r="M53">
        <v>9.3716399999999999E-4</v>
      </c>
      <c r="N53">
        <v>-342.4</v>
      </c>
      <c r="O53">
        <v>347.8</v>
      </c>
      <c r="P53" s="9">
        <v>7815.7582970000003</v>
      </c>
      <c r="Q53" s="1"/>
      <c r="R53" s="1"/>
      <c r="S53" s="1"/>
      <c r="T53" s="1"/>
    </row>
    <row r="54" spans="1:20" customFormat="1">
      <c r="A54" s="1"/>
      <c r="B54" s="1">
        <v>1</v>
      </c>
      <c r="C54" s="1">
        <v>1</v>
      </c>
      <c r="D54" s="1">
        <v>3</v>
      </c>
      <c r="E54" s="1">
        <v>2</v>
      </c>
      <c r="F54" s="1">
        <v>1</v>
      </c>
      <c r="G54" s="1">
        <v>2</v>
      </c>
      <c r="H54" s="1">
        <v>4</v>
      </c>
      <c r="I54" s="1">
        <v>15</v>
      </c>
      <c r="J54" s="1">
        <v>850</v>
      </c>
      <c r="K54" s="1">
        <v>1369</v>
      </c>
      <c r="L54">
        <v>55.082799999999999</v>
      </c>
      <c r="M54">
        <v>1.1657309999999999E-3</v>
      </c>
      <c r="N54">
        <v>-51.8</v>
      </c>
      <c r="O54">
        <v>50.2</v>
      </c>
      <c r="P54" s="9">
        <v>1112.734925</v>
      </c>
      <c r="Q54" s="1"/>
      <c r="R54" s="1"/>
      <c r="S54" s="1"/>
      <c r="T54" s="1"/>
    </row>
    <row r="55" spans="1:20" customFormat="1">
      <c r="A55" s="1"/>
      <c r="B55" s="1">
        <v>1</v>
      </c>
      <c r="C55" s="1">
        <v>1</v>
      </c>
      <c r="D55" s="1">
        <v>3</v>
      </c>
      <c r="E55" s="1">
        <v>2</v>
      </c>
      <c r="F55" s="1">
        <v>1</v>
      </c>
      <c r="G55" s="1">
        <v>3</v>
      </c>
      <c r="H55" s="1">
        <v>4</v>
      </c>
      <c r="I55" s="1">
        <v>15</v>
      </c>
      <c r="J55" s="1">
        <v>922</v>
      </c>
      <c r="K55" s="1">
        <f>4000-2710</f>
        <v>1290</v>
      </c>
      <c r="L55">
        <v>487.3581648</v>
      </c>
      <c r="M55">
        <v>1.8147689999999999E-3</v>
      </c>
      <c r="N55">
        <v>-465.2</v>
      </c>
      <c r="O55">
        <v>404.8</v>
      </c>
      <c r="P55" s="9">
        <v>55517.740740000001</v>
      </c>
      <c r="Q55" s="1"/>
      <c r="R55" s="1"/>
      <c r="S55" s="1"/>
      <c r="T55" s="1"/>
    </row>
    <row r="56" spans="1:20" customFormat="1">
      <c r="A56" s="1"/>
      <c r="B56" s="1">
        <v>1</v>
      </c>
      <c r="C56" s="1">
        <v>1</v>
      </c>
      <c r="D56" s="1">
        <v>3</v>
      </c>
      <c r="E56" s="1">
        <v>2</v>
      </c>
      <c r="F56" s="1">
        <v>1</v>
      </c>
      <c r="G56" s="1">
        <v>2</v>
      </c>
      <c r="H56" s="1">
        <v>4</v>
      </c>
      <c r="I56" s="1">
        <v>15</v>
      </c>
      <c r="J56" s="1">
        <v>447</v>
      </c>
      <c r="K56" s="1">
        <v>1300</v>
      </c>
      <c r="L56">
        <v>235.5173265</v>
      </c>
      <c r="M56">
        <v>1.4432449999999999E-3</v>
      </c>
      <c r="N56">
        <v>-223.7</v>
      </c>
      <c r="O56">
        <v>203.8</v>
      </c>
      <c r="P56" s="9">
        <v>11117.122240000001</v>
      </c>
      <c r="Q56" s="1"/>
      <c r="R56" s="1"/>
      <c r="S56" s="1"/>
      <c r="T56" s="1"/>
    </row>
    <row r="57" spans="1:20" customFormat="1">
      <c r="A57" s="1"/>
      <c r="B57" s="1">
        <v>1</v>
      </c>
      <c r="C57" s="1">
        <v>1</v>
      </c>
      <c r="D57" s="1">
        <v>3</v>
      </c>
      <c r="E57" s="1">
        <v>2</v>
      </c>
      <c r="F57" s="1">
        <v>1</v>
      </c>
      <c r="G57" s="1">
        <v>1</v>
      </c>
      <c r="H57" s="1">
        <v>4</v>
      </c>
      <c r="I57" s="1">
        <v>15</v>
      </c>
      <c r="J57" s="1">
        <v>1004</v>
      </c>
      <c r="K57" s="1">
        <f>4206-2794</f>
        <v>1412</v>
      </c>
      <c r="L57">
        <v>237.1266708</v>
      </c>
      <c r="M57">
        <v>1.1891619999999999E-3</v>
      </c>
      <c r="N57">
        <v>-227.6</v>
      </c>
      <c r="O57">
        <v>213.7</v>
      </c>
      <c r="P57" s="9">
        <v>35194.136420000003</v>
      </c>
      <c r="Q57" s="1"/>
      <c r="R57" s="1"/>
      <c r="S57" s="1"/>
      <c r="T57" s="1"/>
    </row>
    <row r="58" spans="1:20" customFormat="1">
      <c r="A58" s="1"/>
      <c r="B58" s="1">
        <v>1</v>
      </c>
      <c r="C58" s="1">
        <v>1</v>
      </c>
      <c r="D58" s="1">
        <v>3</v>
      </c>
      <c r="E58" s="1">
        <v>2</v>
      </c>
      <c r="F58" s="1">
        <v>3</v>
      </c>
      <c r="G58" s="1">
        <v>2</v>
      </c>
      <c r="H58" s="1">
        <v>4</v>
      </c>
      <c r="I58" s="1">
        <v>15</v>
      </c>
      <c r="J58" s="1">
        <v>942.5</v>
      </c>
      <c r="K58" s="1">
        <v>1412</v>
      </c>
      <c r="L58">
        <v>237.1266708</v>
      </c>
      <c r="M58">
        <v>1.1773879999999999E-3</v>
      </c>
      <c r="N58">
        <v>-222.9</v>
      </c>
      <c r="O58">
        <v>216</v>
      </c>
      <c r="P58" s="9">
        <v>14162.053819999999</v>
      </c>
      <c r="Q58" s="1"/>
      <c r="R58" s="1"/>
      <c r="S58" s="1"/>
      <c r="T58" s="1"/>
    </row>
    <row r="59" spans="1:20" customFormat="1">
      <c r="A59" s="1"/>
      <c r="B59" s="1">
        <v>1</v>
      </c>
      <c r="C59" s="1">
        <v>1</v>
      </c>
      <c r="D59" s="1">
        <v>3</v>
      </c>
      <c r="E59" s="1">
        <v>1</v>
      </c>
      <c r="F59" s="1">
        <v>3</v>
      </c>
      <c r="G59" s="1">
        <v>1</v>
      </c>
      <c r="H59" s="1">
        <v>4</v>
      </c>
      <c r="I59" s="1">
        <v>15</v>
      </c>
      <c r="J59" s="1">
        <v>115</v>
      </c>
      <c r="K59" s="1">
        <f>(2080-2050)+(2020-1955)</f>
        <v>95</v>
      </c>
      <c r="L59">
        <v>25.661189</v>
      </c>
      <c r="M59">
        <v>1.2010530000000001E-3</v>
      </c>
      <c r="N59">
        <v>-22.1</v>
      </c>
      <c r="O59">
        <v>23.2</v>
      </c>
      <c r="P59" s="9">
        <v>929.21966789999999</v>
      </c>
      <c r="Q59" s="1"/>
      <c r="R59" s="1"/>
      <c r="S59" s="1"/>
      <c r="T59" s="1"/>
    </row>
    <row r="60" spans="1:20" customFormat="1">
      <c r="A60" s="1"/>
      <c r="B60" s="1">
        <v>1</v>
      </c>
      <c r="C60" s="1">
        <v>1</v>
      </c>
      <c r="D60" s="1">
        <v>3</v>
      </c>
      <c r="E60" s="1">
        <v>1</v>
      </c>
      <c r="F60" s="1">
        <v>3</v>
      </c>
      <c r="G60" s="1">
        <v>2</v>
      </c>
      <c r="H60" s="1">
        <v>3</v>
      </c>
      <c r="I60" s="1">
        <v>15</v>
      </c>
      <c r="J60" s="1">
        <v>94</v>
      </c>
      <c r="K60" s="1">
        <v>166</v>
      </c>
      <c r="L60">
        <v>75.781488659999994</v>
      </c>
      <c r="M60">
        <v>1.213064E-3</v>
      </c>
      <c r="N60">
        <v>-71.2</v>
      </c>
      <c r="O60">
        <v>69</v>
      </c>
      <c r="P60" s="9">
        <v>12106.19843</v>
      </c>
      <c r="Q60" s="1"/>
      <c r="R60" s="1"/>
      <c r="S60" s="1"/>
      <c r="T60" s="1"/>
    </row>
    <row r="61" spans="1:20" customFormat="1">
      <c r="A61" s="1"/>
      <c r="B61" s="1">
        <v>1</v>
      </c>
      <c r="C61" s="1">
        <v>1</v>
      </c>
      <c r="D61" s="1">
        <v>1</v>
      </c>
      <c r="E61" s="1">
        <v>1</v>
      </c>
      <c r="F61" s="1">
        <v>2</v>
      </c>
      <c r="G61" s="1">
        <v>2</v>
      </c>
      <c r="H61" s="1">
        <v>3</v>
      </c>
      <c r="I61" s="1">
        <v>15</v>
      </c>
      <c r="J61" s="1">
        <v>61</v>
      </c>
      <c r="K61" s="1">
        <v>121</v>
      </c>
      <c r="L61">
        <v>34.482314299999999</v>
      </c>
      <c r="M61">
        <v>1.2251950000000001E-3</v>
      </c>
      <c r="N61">
        <v>-32.4</v>
      </c>
      <c r="O61">
        <v>31.4</v>
      </c>
      <c r="P61" s="9">
        <v>3854.2492440000001</v>
      </c>
      <c r="Q61" s="1"/>
      <c r="R61" s="1"/>
      <c r="S61" s="1"/>
      <c r="T61" s="1"/>
    </row>
    <row r="62" spans="1:20" customFormat="1">
      <c r="A62" s="1"/>
      <c r="B62" s="1">
        <v>1</v>
      </c>
      <c r="C62" s="1">
        <v>1</v>
      </c>
      <c r="D62" s="1">
        <v>3</v>
      </c>
      <c r="E62" s="1">
        <v>1</v>
      </c>
      <c r="F62" s="1">
        <v>3</v>
      </c>
      <c r="G62" s="1">
        <v>2</v>
      </c>
      <c r="H62" s="1">
        <v>3</v>
      </c>
      <c r="I62" s="1">
        <v>15</v>
      </c>
      <c r="J62" s="1">
        <f>10+14</f>
        <v>24</v>
      </c>
      <c r="K62" s="1">
        <f>(2094-2086)+(2114-2102)</f>
        <v>20</v>
      </c>
      <c r="L62">
        <v>14.18529363</v>
      </c>
      <c r="M62">
        <v>1.201473E-3</v>
      </c>
      <c r="N62">
        <v>-13.3</v>
      </c>
      <c r="O62">
        <v>12.9</v>
      </c>
      <c r="P62" s="9">
        <v>-561.48189730000001</v>
      </c>
      <c r="Q62" s="1"/>
      <c r="R62" s="1"/>
      <c r="S62" s="1"/>
      <c r="T62" s="1"/>
    </row>
    <row r="63" spans="1:20" customFormat="1">
      <c r="A63" s="1"/>
      <c r="B63" s="1">
        <v>1</v>
      </c>
      <c r="C63" s="1">
        <v>1</v>
      </c>
      <c r="D63" s="1">
        <v>3</v>
      </c>
      <c r="E63" s="1">
        <v>1</v>
      </c>
      <c r="F63" s="1">
        <v>3</v>
      </c>
      <c r="G63" s="1">
        <v>2</v>
      </c>
      <c r="H63" s="1">
        <v>3</v>
      </c>
      <c r="I63" s="1">
        <v>15</v>
      </c>
      <c r="J63" s="1">
        <v>15</v>
      </c>
      <c r="K63" s="1">
        <v>18</v>
      </c>
      <c r="L63">
        <v>50.069768689999997</v>
      </c>
      <c r="M63">
        <v>9.0913300000000001E-4</v>
      </c>
      <c r="N63">
        <v>-40.299999999999997</v>
      </c>
      <c r="O63">
        <v>45.7</v>
      </c>
      <c r="P63" s="9">
        <v>1942.929341</v>
      </c>
      <c r="Q63" s="1"/>
      <c r="R63" s="1"/>
      <c r="S63" s="1"/>
      <c r="T63" s="1"/>
    </row>
    <row r="64" spans="1:20" customFormat="1">
      <c r="A64" s="1"/>
      <c r="B64" s="1">
        <v>1</v>
      </c>
      <c r="C64" s="1">
        <v>1</v>
      </c>
      <c r="D64" s="1">
        <v>3</v>
      </c>
      <c r="E64" s="1">
        <v>1</v>
      </c>
      <c r="F64" s="1">
        <v>3</v>
      </c>
      <c r="G64" s="1">
        <v>2</v>
      </c>
      <c r="H64" s="1">
        <v>3</v>
      </c>
      <c r="I64" s="1">
        <v>15</v>
      </c>
      <c r="J64" s="1">
        <f>3*14</f>
        <v>42</v>
      </c>
      <c r="K64" s="1">
        <v>12</v>
      </c>
      <c r="L64">
        <v>113.82468830000001</v>
      </c>
      <c r="M64">
        <v>1.237447E-3</v>
      </c>
      <c r="N64">
        <v>-107</v>
      </c>
      <c r="O64">
        <v>103.7</v>
      </c>
      <c r="P64" s="9">
        <v>-5511.8881019999999</v>
      </c>
      <c r="Q64" s="1"/>
      <c r="R64" s="1"/>
      <c r="S64" s="1"/>
      <c r="T64" s="1"/>
    </row>
    <row r="65" spans="1:20" customFormat="1">
      <c r="A65" s="1"/>
      <c r="B65" s="1">
        <v>1</v>
      </c>
      <c r="C65" s="1">
        <v>1</v>
      </c>
      <c r="D65" s="1">
        <v>3</v>
      </c>
      <c r="E65" s="1">
        <v>1</v>
      </c>
      <c r="F65" s="1">
        <v>3</v>
      </c>
      <c r="G65" s="1">
        <v>2</v>
      </c>
      <c r="H65" s="1">
        <v>4</v>
      </c>
      <c r="I65" s="1">
        <v>15</v>
      </c>
      <c r="J65" s="1">
        <v>321</v>
      </c>
      <c r="K65" s="1">
        <v>434</v>
      </c>
      <c r="L65">
        <v>158.11581000000001</v>
      </c>
      <c r="M65">
        <v>1.2498209999999999E-3</v>
      </c>
      <c r="N65">
        <v>-148.6</v>
      </c>
      <c r="O65">
        <v>144.1</v>
      </c>
      <c r="P65" s="9">
        <v>3578.1372940000001</v>
      </c>
      <c r="Q65" s="1"/>
      <c r="R65" s="1"/>
      <c r="S65" s="1"/>
      <c r="T65" s="1"/>
    </row>
    <row r="66" spans="1:20" customFormat="1">
      <c r="A66" s="1"/>
      <c r="B66" s="1">
        <v>1</v>
      </c>
      <c r="C66" s="1">
        <v>1</v>
      </c>
      <c r="D66" s="1">
        <v>3</v>
      </c>
      <c r="E66" s="1">
        <v>1</v>
      </c>
      <c r="F66" s="1">
        <v>3</v>
      </c>
      <c r="G66" s="1">
        <v>2</v>
      </c>
      <c r="H66" s="1">
        <v>3</v>
      </c>
      <c r="I66" s="1">
        <v>15</v>
      </c>
      <c r="J66" s="1">
        <v>42</v>
      </c>
      <c r="K66" s="1">
        <v>56</v>
      </c>
      <c r="L66">
        <v>106.408</v>
      </c>
      <c r="M66">
        <v>1.262319E-3</v>
      </c>
      <c r="N66">
        <v>-100</v>
      </c>
      <c r="O66">
        <v>96.9</v>
      </c>
      <c r="P66" s="9">
        <v>2858.368203</v>
      </c>
      <c r="Q66" s="1"/>
      <c r="R66" s="1"/>
      <c r="S66" s="1"/>
      <c r="T66" s="1"/>
    </row>
    <row r="67" spans="1:20" customFormat="1">
      <c r="A67" s="1"/>
      <c r="B67" s="1">
        <v>1</v>
      </c>
      <c r="C67" s="1">
        <v>1</v>
      </c>
      <c r="D67" s="1">
        <v>3</v>
      </c>
      <c r="E67" s="1">
        <v>1</v>
      </c>
      <c r="F67" s="1">
        <v>3</v>
      </c>
      <c r="G67" s="1">
        <v>2</v>
      </c>
      <c r="H67" s="1">
        <v>3</v>
      </c>
      <c r="I67" s="1">
        <v>15</v>
      </c>
      <c r="J67" s="1">
        <v>117</v>
      </c>
      <c r="K67" s="1">
        <v>98</v>
      </c>
      <c r="L67">
        <v>15.63272985</v>
      </c>
      <c r="M67">
        <v>1.2134750000000001E-3</v>
      </c>
      <c r="N67">
        <v>-14.7</v>
      </c>
      <c r="O67">
        <v>14.2</v>
      </c>
      <c r="P67" s="9">
        <v>442.71251369999999</v>
      </c>
      <c r="Q67" s="1"/>
      <c r="R67" s="1"/>
      <c r="S67" s="1"/>
      <c r="T67" s="1"/>
    </row>
    <row r="68" spans="1:20" customFormat="1">
      <c r="A68" s="1"/>
      <c r="B68" s="1">
        <v>1</v>
      </c>
      <c r="C68" s="1">
        <v>1</v>
      </c>
      <c r="D68" s="1">
        <v>3</v>
      </c>
      <c r="E68" s="1">
        <v>1</v>
      </c>
      <c r="F68" s="1">
        <v>3</v>
      </c>
      <c r="G68" s="1">
        <v>2</v>
      </c>
      <c r="H68" s="1">
        <v>3</v>
      </c>
      <c r="I68" s="1">
        <v>15</v>
      </c>
      <c r="J68" s="1">
        <v>48</v>
      </c>
      <c r="K68" s="1">
        <v>36</v>
      </c>
      <c r="L68">
        <v>292.64325200000002</v>
      </c>
      <c r="M68">
        <v>4.9312949999999996E-3</v>
      </c>
      <c r="N68">
        <v>-276.7</v>
      </c>
      <c r="O68">
        <v>183.3</v>
      </c>
      <c r="P68" s="9">
        <v>9184.3831769999997</v>
      </c>
      <c r="Q68" s="1"/>
      <c r="R68" s="1"/>
      <c r="S68" s="1"/>
      <c r="T68" s="1"/>
    </row>
    <row r="69" spans="1:20" customFormat="1">
      <c r="A69" s="1"/>
      <c r="B69" s="1">
        <v>1</v>
      </c>
      <c r="C69" s="1">
        <v>1</v>
      </c>
      <c r="D69" s="1">
        <v>3</v>
      </c>
      <c r="E69" s="1">
        <v>1</v>
      </c>
      <c r="F69" s="1">
        <v>3</v>
      </c>
      <c r="G69" s="1">
        <v>3</v>
      </c>
      <c r="H69" s="1">
        <v>3</v>
      </c>
      <c r="I69" s="1">
        <v>20</v>
      </c>
      <c r="J69" s="1">
        <v>60</v>
      </c>
      <c r="K69" s="1">
        <v>66</v>
      </c>
      <c r="L69">
        <v>117.26481099999999</v>
      </c>
      <c r="M69">
        <v>1.274942E-3</v>
      </c>
      <c r="N69">
        <v>-110.2</v>
      </c>
      <c r="O69">
        <v>106.8</v>
      </c>
      <c r="P69" s="9">
        <v>-640.81899840000005</v>
      </c>
      <c r="Q69" s="1"/>
      <c r="R69" s="1"/>
      <c r="S69" s="1"/>
      <c r="T69" s="1"/>
    </row>
    <row r="70" spans="1:20" customFormat="1">
      <c r="A70" s="1"/>
      <c r="B70" s="1">
        <v>1</v>
      </c>
      <c r="C70" s="1">
        <v>1</v>
      </c>
      <c r="D70" s="1">
        <v>3</v>
      </c>
      <c r="E70" s="1">
        <v>2</v>
      </c>
      <c r="F70" s="1">
        <v>2</v>
      </c>
      <c r="G70" s="1">
        <v>2</v>
      </c>
      <c r="H70" s="1">
        <v>4</v>
      </c>
      <c r="I70" s="1">
        <v>15</v>
      </c>
      <c r="J70" s="1">
        <v>395</v>
      </c>
      <c r="K70" s="1">
        <v>1186</v>
      </c>
      <c r="L70">
        <v>36.052785</v>
      </c>
      <c r="M70">
        <v>1.287692E-3</v>
      </c>
      <c r="N70">
        <v>-33.9</v>
      </c>
      <c r="O70">
        <v>32.799999999999997</v>
      </c>
      <c r="P70" s="9">
        <v>4811.1842109999998</v>
      </c>
      <c r="Q70" s="1"/>
      <c r="R70" s="1"/>
      <c r="S70" s="1"/>
      <c r="T70" s="1"/>
    </row>
    <row r="71" spans="1:20" customFormat="1">
      <c r="A71" s="1"/>
      <c r="B71" s="1">
        <v>1</v>
      </c>
      <c r="C71" s="1">
        <v>1</v>
      </c>
      <c r="D71" s="1">
        <v>3</v>
      </c>
      <c r="E71" s="1">
        <v>2</v>
      </c>
      <c r="F71" s="1">
        <v>2</v>
      </c>
      <c r="G71" s="1">
        <v>2</v>
      </c>
      <c r="H71" s="1">
        <v>4</v>
      </c>
      <c r="I71" s="1">
        <v>15</v>
      </c>
      <c r="J71" s="1">
        <v>844</v>
      </c>
      <c r="K71" s="1">
        <v>1182</v>
      </c>
      <c r="L71">
        <v>152.37522999999999</v>
      </c>
      <c r="M71">
        <v>1.3005689999999999E-3</v>
      </c>
      <c r="N71">
        <v>-143.5</v>
      </c>
      <c r="O71">
        <v>139.69999999999999</v>
      </c>
      <c r="P71" s="9">
        <v>4775.423014</v>
      </c>
      <c r="Q71" s="1"/>
      <c r="R71" s="1"/>
      <c r="S71" s="1"/>
      <c r="T71" s="1"/>
    </row>
    <row r="72" spans="1:20" customFormat="1">
      <c r="A72" s="1"/>
      <c r="B72" s="1">
        <v>1</v>
      </c>
      <c r="C72" s="1">
        <v>1</v>
      </c>
      <c r="D72" s="1">
        <v>3</v>
      </c>
      <c r="E72" s="1">
        <v>1</v>
      </c>
      <c r="F72" s="1">
        <v>3</v>
      </c>
      <c r="G72" s="1">
        <v>2</v>
      </c>
      <c r="H72" s="1">
        <v>3</v>
      </c>
      <c r="I72" s="1">
        <v>15</v>
      </c>
      <c r="J72" s="1">
        <v>200</v>
      </c>
      <c r="K72" s="1">
        <v>181</v>
      </c>
      <c r="L72">
        <v>92.111192000000003</v>
      </c>
      <c r="M72">
        <v>1.313575E-3</v>
      </c>
      <c r="N72">
        <v>-86.6</v>
      </c>
      <c r="O72">
        <v>87.9</v>
      </c>
      <c r="P72" s="9">
        <v>26365.07373</v>
      </c>
      <c r="Q72" s="1"/>
      <c r="R72" s="1"/>
      <c r="S72" s="1"/>
      <c r="T72" s="1"/>
    </row>
    <row r="73" spans="1:20" customFormat="1">
      <c r="A73" s="1"/>
      <c r="B73" s="1">
        <v>1</v>
      </c>
      <c r="C73" s="1">
        <v>1</v>
      </c>
      <c r="D73" s="1">
        <v>3</v>
      </c>
      <c r="E73" s="1">
        <v>1</v>
      </c>
      <c r="F73" s="1">
        <v>3</v>
      </c>
      <c r="G73" s="1">
        <v>2</v>
      </c>
      <c r="H73" s="1">
        <v>1</v>
      </c>
      <c r="I73" s="1" t="s">
        <v>32</v>
      </c>
      <c r="J73" s="2">
        <v>205</v>
      </c>
      <c r="K73" s="1"/>
      <c r="L73">
        <v>294.2343156</v>
      </c>
      <c r="M73">
        <v>1.32671E-3</v>
      </c>
      <c r="N73">
        <v>-276.60000000000002</v>
      </c>
      <c r="O73">
        <v>268.10000000000002</v>
      </c>
      <c r="P73" s="9">
        <v>-4044.0462600000001</v>
      </c>
      <c r="Q73" s="1" t="s">
        <v>31</v>
      </c>
      <c r="R73" s="1"/>
      <c r="S73" s="1"/>
      <c r="T73" s="1"/>
    </row>
    <row r="74" spans="1:20" customFormat="1">
      <c r="A74" s="1"/>
      <c r="B74" s="1">
        <v>1</v>
      </c>
      <c r="C74" s="1">
        <v>1</v>
      </c>
      <c r="D74" s="1">
        <v>3</v>
      </c>
      <c r="E74" s="1">
        <v>1</v>
      </c>
      <c r="F74" s="1">
        <v>3</v>
      </c>
      <c r="G74" s="1">
        <v>2</v>
      </c>
      <c r="H74" s="1">
        <v>3</v>
      </c>
      <c r="I74" s="1">
        <v>15</v>
      </c>
      <c r="J74" s="1">
        <v>262</v>
      </c>
      <c r="K74" s="1">
        <v>220</v>
      </c>
      <c r="L74">
        <v>195.51990090000001</v>
      </c>
      <c r="M74">
        <v>3.1407359999999999E-3</v>
      </c>
      <c r="N74">
        <v>-164</v>
      </c>
      <c r="O74">
        <v>150.4</v>
      </c>
      <c r="P74" s="9">
        <v>16064.614149999999</v>
      </c>
      <c r="Q74" s="1"/>
      <c r="R74" s="1"/>
      <c r="S74" s="1"/>
      <c r="T74" s="1"/>
    </row>
    <row r="75" spans="1:20" customFormat="1">
      <c r="A75" s="1"/>
      <c r="B75" s="1">
        <v>1</v>
      </c>
      <c r="C75" s="1">
        <v>1</v>
      </c>
      <c r="D75" s="1">
        <v>3</v>
      </c>
      <c r="E75" s="1">
        <v>2</v>
      </c>
      <c r="F75" s="1">
        <v>1</v>
      </c>
      <c r="G75" s="1">
        <v>2</v>
      </c>
      <c r="H75" s="1">
        <v>4</v>
      </c>
      <c r="I75" s="1">
        <v>15</v>
      </c>
      <c r="J75" s="1">
        <v>291</v>
      </c>
      <c r="K75" s="1">
        <v>874</v>
      </c>
      <c r="L75">
        <v>253.57499999999999</v>
      </c>
      <c r="M75">
        <v>4.9005000000000003E-3</v>
      </c>
      <c r="N75">
        <v>-253.6</v>
      </c>
      <c r="O75">
        <v>112.7</v>
      </c>
      <c r="P75" s="9">
        <v>28985.39546</v>
      </c>
      <c r="Q75" s="1"/>
      <c r="R75" s="1"/>
      <c r="S75" s="1"/>
      <c r="T75" s="1"/>
    </row>
    <row r="76" spans="1:20" customFormat="1">
      <c r="A76" s="1"/>
      <c r="B76" s="1">
        <v>1</v>
      </c>
      <c r="C76" s="1">
        <v>1</v>
      </c>
      <c r="D76" s="1">
        <v>3</v>
      </c>
      <c r="E76" s="1">
        <v>2</v>
      </c>
      <c r="F76" s="1">
        <v>1</v>
      </c>
      <c r="G76" s="1">
        <v>2</v>
      </c>
      <c r="H76" s="1">
        <v>4</v>
      </c>
      <c r="I76" s="1">
        <v>15</v>
      </c>
      <c r="J76" s="1">
        <v>534</v>
      </c>
      <c r="K76" s="1">
        <v>748</v>
      </c>
      <c r="L76">
        <v>117.2213737</v>
      </c>
      <c r="M76">
        <v>1.782205E-3</v>
      </c>
      <c r="N76">
        <v>-111.7</v>
      </c>
      <c r="O76">
        <v>99</v>
      </c>
      <c r="P76" s="9">
        <v>10319.5466</v>
      </c>
      <c r="Q76" s="1"/>
      <c r="R76" s="1"/>
      <c r="S76" s="1"/>
      <c r="T76" s="1"/>
    </row>
    <row r="77" spans="1:20" customFormat="1">
      <c r="A77" s="1"/>
      <c r="B77" s="1">
        <v>1</v>
      </c>
      <c r="C77" s="1">
        <v>1</v>
      </c>
      <c r="D77" s="1">
        <v>3</v>
      </c>
      <c r="E77" s="1">
        <v>2</v>
      </c>
      <c r="F77" s="1">
        <v>1</v>
      </c>
      <c r="G77" s="1">
        <v>2</v>
      </c>
      <c r="H77" s="1">
        <v>4</v>
      </c>
      <c r="I77" s="1">
        <v>15</v>
      </c>
      <c r="J77" s="1">
        <v>261</v>
      </c>
      <c r="K77" s="1">
        <v>820</v>
      </c>
      <c r="L77">
        <v>345.10293969999998</v>
      </c>
      <c r="M77">
        <v>4.8514949999999999E-3</v>
      </c>
      <c r="N77">
        <v>-214.4</v>
      </c>
      <c r="O77">
        <v>222.1</v>
      </c>
      <c r="P77" s="9">
        <v>35463.40943</v>
      </c>
      <c r="Q77" s="1"/>
      <c r="R77" s="1"/>
      <c r="S77" s="1"/>
      <c r="T77" s="1"/>
    </row>
    <row r="78" spans="1:20" customFormat="1">
      <c r="A78" s="1"/>
      <c r="B78" s="1">
        <v>1</v>
      </c>
      <c r="C78" s="1">
        <v>1</v>
      </c>
      <c r="D78" s="1">
        <v>3</v>
      </c>
      <c r="E78" s="1">
        <v>2</v>
      </c>
      <c r="F78" s="1">
        <v>3</v>
      </c>
      <c r="G78" s="1">
        <v>2</v>
      </c>
      <c r="H78" s="1">
        <v>4</v>
      </c>
      <c r="I78" s="1">
        <v>15</v>
      </c>
      <c r="J78" s="1">
        <f>107*9</f>
        <v>963</v>
      </c>
      <c r="K78" s="1">
        <v>1247</v>
      </c>
      <c r="L78">
        <v>107.83075959999999</v>
      </c>
      <c r="M78">
        <v>1.339977E-3</v>
      </c>
      <c r="N78">
        <v>-101.4</v>
      </c>
      <c r="O78">
        <v>98.2</v>
      </c>
      <c r="P78" s="9">
        <v>13307.699860000001</v>
      </c>
      <c r="Q78" s="1"/>
      <c r="R78" s="1"/>
      <c r="S78" s="1"/>
      <c r="T78" s="1"/>
    </row>
    <row r="79" spans="1:20" customFormat="1">
      <c r="A79" s="1"/>
      <c r="B79" s="1">
        <v>1</v>
      </c>
      <c r="C79" s="1">
        <v>1</v>
      </c>
      <c r="D79" s="1">
        <v>3</v>
      </c>
      <c r="E79" s="1">
        <v>2</v>
      </c>
      <c r="F79" s="1">
        <v>1</v>
      </c>
      <c r="G79" s="1">
        <v>2</v>
      </c>
      <c r="H79" s="1">
        <v>4</v>
      </c>
      <c r="I79" s="1">
        <v>20</v>
      </c>
      <c r="J79" s="1">
        <v>770</v>
      </c>
      <c r="K79" s="1">
        <v>792</v>
      </c>
      <c r="L79">
        <v>14.11610947</v>
      </c>
      <c r="M79">
        <v>1.8122469999999999E-3</v>
      </c>
      <c r="N79">
        <v>-13.3</v>
      </c>
      <c r="O79">
        <v>11.3</v>
      </c>
      <c r="P79" s="9">
        <v>1040.338931</v>
      </c>
      <c r="Q79" s="1"/>
      <c r="R79" s="1"/>
      <c r="S79" s="1"/>
      <c r="T79" s="1"/>
    </row>
    <row r="80" spans="1:20" customFormat="1">
      <c r="A80" s="1"/>
      <c r="B80" s="1">
        <v>1</v>
      </c>
      <c r="C80" s="1">
        <v>1</v>
      </c>
      <c r="D80" s="1">
        <v>3</v>
      </c>
      <c r="E80" s="1">
        <v>2</v>
      </c>
      <c r="F80" s="1">
        <v>1</v>
      </c>
      <c r="G80" s="1">
        <v>3</v>
      </c>
      <c r="H80" s="1">
        <v>4</v>
      </c>
      <c r="I80" s="1">
        <v>15</v>
      </c>
      <c r="J80" s="1">
        <v>580</v>
      </c>
      <c r="K80" s="1">
        <f>3840-2622</f>
        <v>1218</v>
      </c>
      <c r="L80">
        <v>247.38734690000001</v>
      </c>
      <c r="M80">
        <v>1.353377E-3</v>
      </c>
      <c r="N80">
        <v>-233.3</v>
      </c>
      <c r="O80">
        <v>220.7</v>
      </c>
      <c r="P80" s="9">
        <v>51873.893329999999</v>
      </c>
      <c r="Q80" s="1"/>
      <c r="R80" s="1"/>
      <c r="S80" s="1"/>
      <c r="T80" s="1"/>
    </row>
    <row r="81" spans="1:20" customFormat="1">
      <c r="A81" s="1"/>
      <c r="B81" s="1">
        <v>1</v>
      </c>
      <c r="C81" s="1">
        <v>1</v>
      </c>
      <c r="D81" s="1">
        <v>3</v>
      </c>
      <c r="E81" s="1">
        <v>2</v>
      </c>
      <c r="F81" s="1">
        <v>1</v>
      </c>
      <c r="G81" s="1">
        <v>1</v>
      </c>
      <c r="H81" s="1">
        <v>4</v>
      </c>
      <c r="I81" s="1">
        <v>15</v>
      </c>
      <c r="J81" s="1">
        <v>816</v>
      </c>
      <c r="K81" s="1">
        <v>1182</v>
      </c>
      <c r="L81">
        <v>104.457876</v>
      </c>
      <c r="M81">
        <v>1.366911E-3</v>
      </c>
      <c r="N81">
        <v>-98.2</v>
      </c>
      <c r="O81">
        <v>95.2</v>
      </c>
      <c r="P81" s="9">
        <v>26093.024809999999</v>
      </c>
      <c r="Q81" s="1"/>
      <c r="R81" s="1"/>
      <c r="S81" s="1"/>
      <c r="T81" s="1"/>
    </row>
    <row r="82" spans="1:20" customFormat="1">
      <c r="A82" s="1"/>
      <c r="B82" s="1">
        <v>1</v>
      </c>
      <c r="C82" s="1">
        <v>1</v>
      </c>
      <c r="D82" s="1">
        <v>3</v>
      </c>
      <c r="E82" s="1">
        <v>2</v>
      </c>
      <c r="F82" s="1">
        <v>1</v>
      </c>
      <c r="G82" s="1">
        <v>2</v>
      </c>
      <c r="H82" s="1">
        <v>4</v>
      </c>
      <c r="I82" s="1">
        <v>15</v>
      </c>
      <c r="J82" s="1">
        <v>1407</v>
      </c>
      <c r="K82" s="1">
        <v>1182</v>
      </c>
      <c r="L82">
        <v>192.63158799999999</v>
      </c>
      <c r="M82">
        <v>1.38058E-3</v>
      </c>
      <c r="N82">
        <v>-159.30000000000001</v>
      </c>
      <c r="O82">
        <v>172.8</v>
      </c>
      <c r="P82" s="9">
        <v>5847.180738</v>
      </c>
      <c r="Q82" s="1"/>
      <c r="R82" s="1"/>
      <c r="S82" s="1"/>
      <c r="T82" s="1"/>
    </row>
    <row r="83" spans="1:20" customFormat="1">
      <c r="A83" s="1"/>
      <c r="B83" s="1">
        <v>1</v>
      </c>
      <c r="C83" s="1">
        <v>1</v>
      </c>
      <c r="D83" s="1">
        <v>3</v>
      </c>
      <c r="E83" s="1">
        <v>2</v>
      </c>
      <c r="F83" s="1">
        <v>3</v>
      </c>
      <c r="G83" s="1">
        <v>2</v>
      </c>
      <c r="H83" s="1">
        <v>3</v>
      </c>
      <c r="I83" s="1">
        <v>15</v>
      </c>
      <c r="J83" s="1">
        <f>57.1*5</f>
        <v>285.5</v>
      </c>
      <c r="K83" s="1">
        <v>1182</v>
      </c>
      <c r="L83">
        <v>167.44095909999999</v>
      </c>
      <c r="M83">
        <v>1.3943860000000001E-3</v>
      </c>
      <c r="N83">
        <v>-157.4</v>
      </c>
      <c r="O83">
        <v>152.6</v>
      </c>
      <c r="P83" s="9">
        <v>-4973.4803330000004</v>
      </c>
      <c r="Q83" s="1"/>
      <c r="R83" s="1"/>
      <c r="S83" s="1"/>
      <c r="T83" s="1"/>
    </row>
    <row r="84" spans="1:20" customFormat="1">
      <c r="A84" s="1"/>
      <c r="B84" s="1">
        <v>1</v>
      </c>
      <c r="C84" s="1">
        <v>1</v>
      </c>
      <c r="D84" s="1">
        <v>3</v>
      </c>
      <c r="E84" s="1">
        <v>2</v>
      </c>
      <c r="F84" s="1">
        <v>1</v>
      </c>
      <c r="G84" s="1">
        <v>2</v>
      </c>
      <c r="H84" s="1">
        <v>4</v>
      </c>
      <c r="I84" s="1">
        <v>15</v>
      </c>
      <c r="J84" s="1">
        <v>593</v>
      </c>
      <c r="K84" s="1">
        <v>1653</v>
      </c>
      <c r="L84">
        <v>225.75543999999999</v>
      </c>
      <c r="M84">
        <v>1.40833E-3</v>
      </c>
      <c r="N84">
        <v>-210</v>
      </c>
      <c r="O84">
        <v>210.9</v>
      </c>
      <c r="P84" s="9">
        <v>16159.59238</v>
      </c>
      <c r="Q84" s="1"/>
      <c r="R84" s="1"/>
      <c r="S84" s="1"/>
      <c r="T84" s="1"/>
    </row>
    <row r="85" spans="1:20" customFormat="1">
      <c r="A85" s="1"/>
      <c r="B85" s="1">
        <v>1</v>
      </c>
      <c r="C85" s="1">
        <v>1</v>
      </c>
      <c r="D85" s="1">
        <v>3</v>
      </c>
      <c r="E85" s="1">
        <v>2</v>
      </c>
      <c r="F85" s="1">
        <v>3</v>
      </c>
      <c r="G85" s="1">
        <v>2</v>
      </c>
      <c r="H85" s="1">
        <v>4</v>
      </c>
      <c r="I85" s="1">
        <v>15</v>
      </c>
      <c r="J85" s="1">
        <f>150+620</f>
        <v>770</v>
      </c>
      <c r="K85" s="1">
        <f>3583-2744</f>
        <v>839</v>
      </c>
      <c r="L85">
        <v>14.18438109</v>
      </c>
      <c r="M85">
        <v>1.2255980000000001E-3</v>
      </c>
      <c r="N85">
        <v>-13.3</v>
      </c>
      <c r="O85">
        <v>12.9</v>
      </c>
      <c r="P85" s="9">
        <v>8590.3675729999995</v>
      </c>
      <c r="Q85" s="1"/>
      <c r="R85" s="1"/>
      <c r="S85" s="1"/>
      <c r="T85" s="1"/>
    </row>
    <row r="86" spans="1:20" customFormat="1">
      <c r="A86" s="1"/>
      <c r="B86" s="1">
        <v>1</v>
      </c>
      <c r="C86" s="1">
        <v>1</v>
      </c>
      <c r="D86" s="1">
        <v>3</v>
      </c>
      <c r="E86" s="1">
        <v>2</v>
      </c>
      <c r="F86" s="1">
        <v>3</v>
      </c>
      <c r="G86" s="1">
        <v>2</v>
      </c>
      <c r="H86" s="1">
        <v>4</v>
      </c>
      <c r="I86" s="1">
        <v>15</v>
      </c>
      <c r="J86" s="1">
        <f>25*11+25*11</f>
        <v>550</v>
      </c>
      <c r="K86" s="1">
        <f>5260-4560</f>
        <v>700</v>
      </c>
      <c r="L86">
        <v>372.44153030000001</v>
      </c>
      <c r="M86">
        <v>1.422413E-3</v>
      </c>
      <c r="N86">
        <v>-350.1</v>
      </c>
      <c r="O86">
        <v>339.3</v>
      </c>
      <c r="P86" s="9">
        <v>-21010.196339999999</v>
      </c>
      <c r="Q86" s="1" t="s">
        <v>31</v>
      </c>
      <c r="R86" s="1"/>
      <c r="S86" s="1"/>
      <c r="T86" s="1"/>
    </row>
    <row r="87" spans="1:20" customFormat="1">
      <c r="A87" s="1"/>
      <c r="B87" s="1">
        <v>1</v>
      </c>
      <c r="C87" s="1">
        <v>1</v>
      </c>
      <c r="D87" s="1">
        <v>3</v>
      </c>
      <c r="E87" s="1">
        <v>2</v>
      </c>
      <c r="F87" s="1">
        <v>1</v>
      </c>
      <c r="G87" s="1">
        <v>2</v>
      </c>
      <c r="H87" s="1">
        <v>4</v>
      </c>
      <c r="I87" s="1">
        <v>15</v>
      </c>
      <c r="J87" s="1">
        <v>480</v>
      </c>
      <c r="K87" s="1">
        <v>1240</v>
      </c>
      <c r="L87">
        <v>240.25633099999999</v>
      </c>
      <c r="M87">
        <v>2.8256079999999999E-3</v>
      </c>
      <c r="N87">
        <v>-230.2</v>
      </c>
      <c r="O87">
        <v>195.5</v>
      </c>
      <c r="P87" s="9">
        <v>20490.303690000001</v>
      </c>
      <c r="Q87" s="1"/>
      <c r="R87" s="1"/>
      <c r="S87" s="1"/>
      <c r="T87" s="1"/>
    </row>
    <row r="88" spans="1:20" customFormat="1">
      <c r="A88" s="1"/>
      <c r="B88" s="1">
        <v>1</v>
      </c>
      <c r="C88" s="1">
        <v>1</v>
      </c>
      <c r="D88" s="1">
        <v>3</v>
      </c>
      <c r="E88" s="1">
        <v>2</v>
      </c>
      <c r="F88" s="1">
        <v>1</v>
      </c>
      <c r="G88" s="1">
        <v>1</v>
      </c>
      <c r="H88" s="1">
        <v>4</v>
      </c>
      <c r="I88" s="1">
        <v>15</v>
      </c>
      <c r="J88" s="1">
        <v>882</v>
      </c>
      <c r="K88" s="1">
        <f>3866-2626</f>
        <v>1240</v>
      </c>
      <c r="L88">
        <v>140.13999999999999</v>
      </c>
      <c r="M88">
        <v>1.4366369999999999E-3</v>
      </c>
      <c r="N88">
        <v>-126.7</v>
      </c>
      <c r="O88">
        <v>129.1</v>
      </c>
      <c r="P88" s="9">
        <v>8283.262616</v>
      </c>
      <c r="Q88" s="1"/>
      <c r="R88" s="1"/>
      <c r="S88" s="1"/>
      <c r="T88" s="1"/>
    </row>
    <row r="89" spans="1:20" customFormat="1">
      <c r="A89" s="1"/>
      <c r="B89" s="1">
        <v>1</v>
      </c>
      <c r="C89" s="1">
        <v>1</v>
      </c>
      <c r="D89" s="1">
        <v>3</v>
      </c>
      <c r="E89" s="1">
        <v>2</v>
      </c>
      <c r="F89" s="1">
        <v>1</v>
      </c>
      <c r="G89" s="1">
        <v>2</v>
      </c>
      <c r="H89" s="1">
        <v>4</v>
      </c>
      <c r="I89" s="1">
        <v>15</v>
      </c>
      <c r="J89" s="1">
        <v>348</v>
      </c>
      <c r="K89" s="1">
        <v>1200</v>
      </c>
      <c r="L89">
        <v>173.01102850000001</v>
      </c>
      <c r="M89">
        <v>1.451003E-3</v>
      </c>
      <c r="N89">
        <v>-162.6</v>
      </c>
      <c r="O89">
        <v>157.6</v>
      </c>
      <c r="P89" s="9">
        <v>-2840.338287</v>
      </c>
      <c r="Q89" s="1"/>
      <c r="R89" s="1"/>
      <c r="S89" s="1"/>
      <c r="T89" s="1"/>
    </row>
    <row r="90" spans="1:20" customFormat="1">
      <c r="A90" s="1"/>
      <c r="B90" s="10">
        <v>1</v>
      </c>
      <c r="C90" s="1">
        <v>1</v>
      </c>
      <c r="D90" s="1">
        <v>3</v>
      </c>
      <c r="E90" s="1">
        <v>2</v>
      </c>
      <c r="F90" s="1">
        <v>1</v>
      </c>
      <c r="G90" s="10">
        <v>1</v>
      </c>
      <c r="H90" s="10">
        <v>4</v>
      </c>
      <c r="I90" s="1">
        <v>15</v>
      </c>
      <c r="J90" s="10">
        <v>854</v>
      </c>
      <c r="K90" s="10">
        <v>1200</v>
      </c>
      <c r="L90">
        <v>265.09291100000002</v>
      </c>
      <c r="M90">
        <v>4.9991860000000001E-3</v>
      </c>
      <c r="N90">
        <v>-297.9825955</v>
      </c>
      <c r="O90">
        <v>168.1</v>
      </c>
      <c r="P90" s="9">
        <v>8332.6712299999999</v>
      </c>
      <c r="Q90" s="1"/>
      <c r="R90" s="1"/>
      <c r="S90" s="1"/>
      <c r="T90" s="1"/>
    </row>
    <row r="91" spans="1:20" customFormat="1">
      <c r="A91" s="1"/>
      <c r="B91" s="1">
        <v>1</v>
      </c>
      <c r="C91" s="1">
        <v>1</v>
      </c>
      <c r="D91" s="1">
        <v>3</v>
      </c>
      <c r="E91" s="1">
        <v>2</v>
      </c>
      <c r="F91" s="1">
        <v>1</v>
      </c>
      <c r="G91" s="1">
        <v>1</v>
      </c>
      <c r="H91" s="1">
        <v>4</v>
      </c>
      <c r="I91" s="1">
        <v>15</v>
      </c>
      <c r="J91" s="1">
        <v>571</v>
      </c>
      <c r="K91" s="1">
        <v>1200</v>
      </c>
      <c r="L91">
        <v>69.695239619999995</v>
      </c>
      <c r="M91">
        <v>1.465514E-3</v>
      </c>
      <c r="N91">
        <v>-65.5</v>
      </c>
      <c r="O91">
        <v>63.5</v>
      </c>
      <c r="P91" s="9">
        <v>1280.4657580000001</v>
      </c>
      <c r="Q91" s="1"/>
      <c r="R91" s="1"/>
      <c r="S91" s="1"/>
      <c r="T91" s="1"/>
    </row>
    <row r="92" spans="1:20" customFormat="1">
      <c r="A92" s="1"/>
      <c r="B92" s="1">
        <v>1</v>
      </c>
      <c r="C92" s="1">
        <v>1</v>
      </c>
      <c r="D92" s="1">
        <v>3</v>
      </c>
      <c r="E92" s="1">
        <v>2</v>
      </c>
      <c r="F92" s="1">
        <v>1</v>
      </c>
      <c r="G92" s="1">
        <v>2</v>
      </c>
      <c r="H92" s="1">
        <v>4</v>
      </c>
      <c r="I92" s="1">
        <v>15</v>
      </c>
      <c r="J92" s="1">
        <v>516</v>
      </c>
      <c r="K92" s="1">
        <v>1033</v>
      </c>
      <c r="L92">
        <v>104.23915650000001</v>
      </c>
      <c r="M92">
        <v>1.131452E-3</v>
      </c>
      <c r="N92">
        <v>-89.7</v>
      </c>
      <c r="O92">
        <v>91.4</v>
      </c>
      <c r="P92" s="9">
        <v>29228.932410000001</v>
      </c>
      <c r="Q92" s="1"/>
      <c r="R92" s="1"/>
      <c r="S92" s="1"/>
      <c r="T92" s="1"/>
    </row>
    <row r="93" spans="1:20" customFormat="1">
      <c r="A93" s="1"/>
      <c r="B93" s="10">
        <v>1</v>
      </c>
      <c r="C93" s="1">
        <v>1</v>
      </c>
      <c r="D93" s="1">
        <v>3</v>
      </c>
      <c r="E93" s="1">
        <v>2</v>
      </c>
      <c r="F93" s="1">
        <v>1</v>
      </c>
      <c r="G93" s="10">
        <v>3</v>
      </c>
      <c r="H93" s="1">
        <v>4</v>
      </c>
      <c r="I93" s="1">
        <v>15</v>
      </c>
      <c r="J93" s="10">
        <v>715</v>
      </c>
      <c r="K93" s="10">
        <v>1001</v>
      </c>
      <c r="L93">
        <v>105.4482615</v>
      </c>
      <c r="M93">
        <v>9.1808999999999999E-4</v>
      </c>
      <c r="N93">
        <v>-79.489566960000005</v>
      </c>
      <c r="O93">
        <v>95.3</v>
      </c>
      <c r="P93" s="9">
        <v>11760.090330000001</v>
      </c>
      <c r="Q93" s="1"/>
      <c r="R93" s="1"/>
      <c r="S93" s="1"/>
      <c r="T93" s="1"/>
    </row>
    <row r="94" spans="1:20" customFormat="1">
      <c r="A94" s="1"/>
      <c r="B94" s="1">
        <v>1</v>
      </c>
      <c r="C94" s="1">
        <v>1</v>
      </c>
      <c r="D94" s="1">
        <v>3</v>
      </c>
      <c r="E94" s="1">
        <v>2</v>
      </c>
      <c r="F94" s="1">
        <v>1</v>
      </c>
      <c r="G94" s="1">
        <v>2</v>
      </c>
      <c r="H94" s="1">
        <v>4</v>
      </c>
      <c r="I94" s="1">
        <v>15</v>
      </c>
      <c r="J94" s="1">
        <v>489</v>
      </c>
      <c r="K94" s="1">
        <v>600</v>
      </c>
      <c r="L94">
        <v>166.4009576</v>
      </c>
      <c r="M94">
        <v>4.2454789999999999E-3</v>
      </c>
      <c r="N94">
        <v>-160.80000000000001</v>
      </c>
      <c r="O94">
        <v>125.8</v>
      </c>
      <c r="P94" s="9">
        <v>21163.560939999999</v>
      </c>
      <c r="Q94" s="1"/>
      <c r="R94" s="1"/>
      <c r="S94" s="1"/>
      <c r="T94" s="1"/>
    </row>
    <row r="95" spans="1:20" customFormat="1">
      <c r="A95" s="1"/>
      <c r="B95" s="1">
        <v>1</v>
      </c>
      <c r="C95" s="1">
        <v>1</v>
      </c>
      <c r="D95" s="1">
        <v>3</v>
      </c>
      <c r="E95" s="1">
        <v>2</v>
      </c>
      <c r="F95" s="1">
        <v>3</v>
      </c>
      <c r="G95" s="1">
        <v>2</v>
      </c>
      <c r="H95" s="1">
        <v>4</v>
      </c>
      <c r="I95" s="1">
        <v>15</v>
      </c>
      <c r="J95" s="1">
        <f>12*11+83*11</f>
        <v>1045</v>
      </c>
      <c r="K95" s="1">
        <v>1027</v>
      </c>
      <c r="L95">
        <v>145.69975350000001</v>
      </c>
      <c r="M95">
        <v>1.4801689999999999E-3</v>
      </c>
      <c r="N95">
        <v>-137</v>
      </c>
      <c r="O95">
        <v>132.69999999999999</v>
      </c>
      <c r="P95" s="9">
        <v>-1894.505991</v>
      </c>
      <c r="Q95" s="1"/>
      <c r="R95" s="1"/>
      <c r="S95" s="1"/>
      <c r="T95" s="1"/>
    </row>
    <row r="96" spans="1:20" customFormat="1">
      <c r="A96" s="1"/>
      <c r="B96" s="1">
        <v>1</v>
      </c>
      <c r="C96" s="1">
        <v>1</v>
      </c>
      <c r="D96" s="1">
        <v>3</v>
      </c>
      <c r="E96" s="1">
        <v>2</v>
      </c>
      <c r="F96" s="1">
        <v>1</v>
      </c>
      <c r="G96" s="1">
        <v>2</v>
      </c>
      <c r="H96" s="1">
        <v>4</v>
      </c>
      <c r="I96" s="1">
        <v>15</v>
      </c>
      <c r="J96" s="1">
        <v>373</v>
      </c>
      <c r="K96" s="1">
        <v>1018</v>
      </c>
      <c r="L96">
        <v>120.4586286</v>
      </c>
      <c r="M96">
        <v>2.0211550000000002E-3</v>
      </c>
      <c r="N96">
        <v>-114.7</v>
      </c>
      <c r="O96">
        <v>100</v>
      </c>
      <c r="P96" s="9">
        <v>53558.632579999998</v>
      </c>
      <c r="Q96" s="1"/>
      <c r="R96" s="1"/>
      <c r="S96" s="1"/>
      <c r="T96" s="1"/>
    </row>
    <row r="97" spans="1:20" customFormat="1">
      <c r="A97" s="1"/>
      <c r="B97" s="1">
        <v>1</v>
      </c>
      <c r="C97" s="1">
        <v>1</v>
      </c>
      <c r="D97" s="1">
        <v>3</v>
      </c>
      <c r="E97" s="1">
        <v>2</v>
      </c>
      <c r="F97" s="1">
        <v>1</v>
      </c>
      <c r="G97" s="1">
        <v>2</v>
      </c>
      <c r="H97" s="1">
        <v>4</v>
      </c>
      <c r="I97" s="1">
        <v>15</v>
      </c>
      <c r="J97" s="11">
        <v>541.5</v>
      </c>
      <c r="K97" s="1">
        <v>900</v>
      </c>
      <c r="L97">
        <v>54.472140000000003</v>
      </c>
      <c r="M97">
        <v>1.49497E-3</v>
      </c>
      <c r="N97">
        <v>-51.2</v>
      </c>
      <c r="O97">
        <v>49.7</v>
      </c>
      <c r="P97" s="9">
        <v>-3543.96452</v>
      </c>
      <c r="Q97" s="1"/>
      <c r="R97" s="1"/>
      <c r="S97" s="1"/>
      <c r="T97" s="1"/>
    </row>
    <row r="98" spans="1:20" customFormat="1">
      <c r="A98" s="1"/>
      <c r="B98" s="1">
        <v>1</v>
      </c>
      <c r="C98" s="1">
        <v>1</v>
      </c>
      <c r="D98" s="1">
        <v>3</v>
      </c>
      <c r="E98" s="1">
        <v>2</v>
      </c>
      <c r="F98" s="1">
        <v>1</v>
      </c>
      <c r="G98" s="1">
        <v>2</v>
      </c>
      <c r="H98" s="1">
        <v>4</v>
      </c>
      <c r="I98" s="1">
        <v>15</v>
      </c>
      <c r="J98" s="1">
        <v>552</v>
      </c>
      <c r="K98" s="1">
        <v>1103</v>
      </c>
      <c r="L98">
        <v>375.00074940000002</v>
      </c>
      <c r="M98">
        <v>9.0049399999999995E-4</v>
      </c>
      <c r="N98">
        <v>-313.39999999999998</v>
      </c>
      <c r="O98">
        <v>338.1</v>
      </c>
      <c r="P98" s="9">
        <v>-17476.631239999999</v>
      </c>
      <c r="Q98" s="1"/>
      <c r="R98" s="1"/>
      <c r="S98" s="1"/>
      <c r="T98" s="1"/>
    </row>
    <row r="99" spans="1:20" customFormat="1">
      <c r="A99" s="1"/>
      <c r="B99" s="1">
        <v>1</v>
      </c>
      <c r="C99" s="1">
        <v>1</v>
      </c>
      <c r="D99" s="1">
        <v>3</v>
      </c>
      <c r="E99" s="1">
        <v>2</v>
      </c>
      <c r="F99" s="1">
        <v>1</v>
      </c>
      <c r="G99" s="1">
        <v>1</v>
      </c>
      <c r="H99" s="1">
        <v>4</v>
      </c>
      <c r="I99" s="1">
        <v>15</v>
      </c>
      <c r="J99" s="11">
        <v>981</v>
      </c>
      <c r="K99" s="1">
        <f>4024-2650</f>
        <v>1374</v>
      </c>
      <c r="L99">
        <v>99.133235290000002</v>
      </c>
      <c r="M99">
        <v>9.956679999999999E-4</v>
      </c>
      <c r="N99">
        <v>-90.6</v>
      </c>
      <c r="O99">
        <v>91</v>
      </c>
      <c r="P99" s="9">
        <v>10864.924859999999</v>
      </c>
      <c r="Q99" s="1"/>
      <c r="R99" s="1"/>
      <c r="S99" s="1"/>
      <c r="T99" s="1"/>
    </row>
    <row r="100" spans="1:20" customFormat="1">
      <c r="A100" s="1"/>
      <c r="B100" s="1">
        <v>1</v>
      </c>
      <c r="C100" s="1">
        <v>1</v>
      </c>
      <c r="D100" s="1">
        <v>3</v>
      </c>
      <c r="E100" s="1">
        <v>2</v>
      </c>
      <c r="F100" s="1">
        <v>1</v>
      </c>
      <c r="G100" s="1">
        <v>2</v>
      </c>
      <c r="H100" s="1">
        <v>4</v>
      </c>
      <c r="I100" s="1">
        <v>15</v>
      </c>
      <c r="J100" s="1">
        <v>467</v>
      </c>
      <c r="K100" s="1">
        <v>1400</v>
      </c>
      <c r="L100">
        <v>116.6841903</v>
      </c>
      <c r="M100">
        <v>1.7059320000000001E-3</v>
      </c>
      <c r="N100">
        <v>-110.6</v>
      </c>
      <c r="O100">
        <v>98</v>
      </c>
      <c r="P100" s="9">
        <v>24710.926510000001</v>
      </c>
      <c r="Q100" s="1"/>
      <c r="R100" s="1"/>
      <c r="S100" s="1"/>
      <c r="T100" s="1"/>
    </row>
    <row r="101" spans="1:20" customFormat="1">
      <c r="A101" s="1"/>
      <c r="B101" s="10">
        <v>1</v>
      </c>
      <c r="C101" s="1">
        <v>1</v>
      </c>
      <c r="D101" s="1">
        <v>3</v>
      </c>
      <c r="E101" s="1">
        <v>2</v>
      </c>
      <c r="F101" s="1">
        <v>1</v>
      </c>
      <c r="G101" s="10">
        <v>1</v>
      </c>
      <c r="H101" s="1">
        <v>4</v>
      </c>
      <c r="I101" s="1">
        <v>15</v>
      </c>
      <c r="J101" s="10">
        <v>790</v>
      </c>
      <c r="K101" s="10">
        <v>1110</v>
      </c>
      <c r="L101">
        <v>110.8379577</v>
      </c>
      <c r="M101">
        <v>1.3024289999999999E-3</v>
      </c>
      <c r="N101">
        <v>-87.910911979999995</v>
      </c>
      <c r="O101">
        <v>93.5</v>
      </c>
      <c r="P101" s="9">
        <v>35185.737509999999</v>
      </c>
      <c r="Q101" s="1"/>
      <c r="R101" s="1"/>
      <c r="S101" s="1"/>
      <c r="T101" s="1"/>
    </row>
    <row r="102" spans="1:20" customFormat="1">
      <c r="A102" s="1"/>
      <c r="B102" s="1">
        <v>1</v>
      </c>
      <c r="C102" s="1">
        <v>1</v>
      </c>
      <c r="D102" s="1">
        <v>3</v>
      </c>
      <c r="E102" s="1">
        <v>2</v>
      </c>
      <c r="F102" s="1">
        <v>3</v>
      </c>
      <c r="G102" s="1">
        <v>2</v>
      </c>
      <c r="H102" s="1">
        <v>4</v>
      </c>
      <c r="I102" s="1">
        <v>15</v>
      </c>
      <c r="J102" s="1">
        <f>13*25+13*25</f>
        <v>650</v>
      </c>
      <c r="K102" s="1">
        <v>1305</v>
      </c>
      <c r="L102">
        <v>291.00408399999998</v>
      </c>
      <c r="M102">
        <v>1.5099200000000001E-3</v>
      </c>
      <c r="N102">
        <v>-273.5</v>
      </c>
      <c r="O102">
        <v>265.10000000000002</v>
      </c>
      <c r="P102" s="9">
        <v>-26751.70321</v>
      </c>
      <c r="Q102" s="1" t="s">
        <v>31</v>
      </c>
      <c r="R102" s="1"/>
      <c r="S102" s="1"/>
      <c r="T102" s="1"/>
    </row>
    <row r="103" spans="1:20" customFormat="1">
      <c r="A103" s="1"/>
      <c r="B103" s="1">
        <v>1</v>
      </c>
      <c r="C103" s="1">
        <v>1</v>
      </c>
      <c r="D103" s="1">
        <v>3</v>
      </c>
      <c r="E103" s="1">
        <v>2</v>
      </c>
      <c r="F103" s="1">
        <v>1</v>
      </c>
      <c r="G103" s="1">
        <v>2</v>
      </c>
      <c r="H103" s="1">
        <v>1</v>
      </c>
      <c r="I103" s="1">
        <v>15</v>
      </c>
      <c r="J103" s="1">
        <v>10</v>
      </c>
      <c r="K103" s="1">
        <f>4073-3070</f>
        <v>1003</v>
      </c>
      <c r="L103">
        <v>88.608587</v>
      </c>
      <c r="M103">
        <v>1.5250190000000001E-3</v>
      </c>
      <c r="N103">
        <v>-71.900000000000006</v>
      </c>
      <c r="O103">
        <v>79.400000000000006</v>
      </c>
      <c r="P103" s="9">
        <v>12036.79622</v>
      </c>
      <c r="Q103" s="1"/>
      <c r="R103" s="1"/>
      <c r="S103" s="1"/>
      <c r="T103" s="1"/>
    </row>
    <row r="104" spans="1:20" customFormat="1">
      <c r="A104" s="1"/>
      <c r="B104" s="1">
        <v>1</v>
      </c>
      <c r="C104" s="1">
        <v>1</v>
      </c>
      <c r="D104" s="1">
        <v>3</v>
      </c>
      <c r="E104" s="1">
        <v>2</v>
      </c>
      <c r="F104" s="1">
        <v>3</v>
      </c>
      <c r="G104" s="1">
        <v>2</v>
      </c>
      <c r="H104" s="1">
        <v>4</v>
      </c>
      <c r="I104" s="1">
        <v>15</v>
      </c>
      <c r="J104" s="1">
        <f>(12+72)*13</f>
        <v>1092</v>
      </c>
      <c r="K104" s="1">
        <v>1248</v>
      </c>
      <c r="L104">
        <v>178.49804499999999</v>
      </c>
      <c r="M104">
        <v>1.5402689999999999E-3</v>
      </c>
      <c r="N104">
        <v>-167.8</v>
      </c>
      <c r="O104">
        <v>162.6</v>
      </c>
      <c r="P104" s="9">
        <v>14571.33266</v>
      </c>
      <c r="Q104" s="1"/>
      <c r="R104" s="1"/>
      <c r="S104" s="1"/>
      <c r="T104" s="1"/>
    </row>
    <row r="105" spans="1:20" customFormat="1">
      <c r="A105" s="1"/>
      <c r="B105" s="1">
        <v>1</v>
      </c>
      <c r="C105" s="1">
        <v>1</v>
      </c>
      <c r="D105" s="1">
        <v>3</v>
      </c>
      <c r="E105" s="1">
        <v>2</v>
      </c>
      <c r="F105" s="1">
        <v>1</v>
      </c>
      <c r="G105" s="1">
        <v>2</v>
      </c>
      <c r="H105" s="1">
        <v>4</v>
      </c>
      <c r="I105" s="1">
        <v>15</v>
      </c>
      <c r="J105" s="1">
        <v>947</v>
      </c>
      <c r="K105" s="1">
        <v>785</v>
      </c>
      <c r="L105">
        <v>74.341952250000006</v>
      </c>
      <c r="M105">
        <v>3.201504E-3</v>
      </c>
      <c r="N105">
        <v>-71.400000000000006</v>
      </c>
      <c r="O105">
        <v>56.4</v>
      </c>
      <c r="P105" s="9">
        <v>9678.4027669999996</v>
      </c>
      <c r="Q105" s="1"/>
      <c r="R105" s="1"/>
      <c r="S105" s="1"/>
      <c r="T105" s="1"/>
    </row>
    <row r="106" spans="1:20" customFormat="1">
      <c r="A106" s="1"/>
      <c r="B106" s="10">
        <v>1</v>
      </c>
      <c r="C106" s="1">
        <v>1</v>
      </c>
      <c r="D106" s="1">
        <v>3</v>
      </c>
      <c r="E106" s="1">
        <v>2</v>
      </c>
      <c r="F106" s="1">
        <v>1</v>
      </c>
      <c r="G106" s="10">
        <v>3</v>
      </c>
      <c r="H106" s="1">
        <v>4</v>
      </c>
      <c r="I106" s="1">
        <v>15</v>
      </c>
      <c r="J106" s="10">
        <v>374</v>
      </c>
      <c r="K106" s="10">
        <v>785</v>
      </c>
      <c r="L106">
        <v>84.501247039999996</v>
      </c>
      <c r="M106">
        <v>4.9500000000000004E-3</v>
      </c>
      <c r="N106">
        <v>-133.29932389999999</v>
      </c>
      <c r="O106">
        <v>49.8</v>
      </c>
      <c r="P106" s="9">
        <v>21749.779549999999</v>
      </c>
      <c r="Q106" s="1"/>
      <c r="R106" s="1"/>
      <c r="S106" s="1"/>
      <c r="T106" s="1"/>
    </row>
    <row r="107" spans="1:20" customFormat="1">
      <c r="A107" s="1"/>
      <c r="B107" s="1">
        <v>1</v>
      </c>
      <c r="C107" s="1">
        <v>1</v>
      </c>
      <c r="D107" s="1">
        <v>3</v>
      </c>
      <c r="E107" s="1">
        <v>2</v>
      </c>
      <c r="F107" s="1">
        <v>1</v>
      </c>
      <c r="G107" s="1">
        <v>1</v>
      </c>
      <c r="H107" s="1">
        <v>4</v>
      </c>
      <c r="I107" s="1">
        <v>15</v>
      </c>
      <c r="J107" s="1">
        <v>996</v>
      </c>
      <c r="K107" s="1">
        <v>1400</v>
      </c>
      <c r="L107">
        <v>447.44929769999999</v>
      </c>
      <c r="M107">
        <v>9.0096299999999996E-4</v>
      </c>
      <c r="N107">
        <v>-410.9</v>
      </c>
      <c r="O107">
        <v>400</v>
      </c>
      <c r="P107" s="9">
        <v>14688.295109999999</v>
      </c>
      <c r="Q107" s="1"/>
      <c r="R107" s="1"/>
      <c r="S107" s="1"/>
      <c r="T107" s="1"/>
    </row>
    <row r="108" spans="1:20" customFormat="1">
      <c r="A108" s="1"/>
      <c r="B108" s="1">
        <v>1</v>
      </c>
      <c r="C108" s="1">
        <v>1</v>
      </c>
      <c r="D108" s="1">
        <v>3</v>
      </c>
      <c r="E108" s="1">
        <v>2</v>
      </c>
      <c r="F108" s="1">
        <v>1</v>
      </c>
      <c r="G108" s="1">
        <v>2</v>
      </c>
      <c r="H108" s="1">
        <v>4</v>
      </c>
      <c r="I108" s="1">
        <v>20</v>
      </c>
      <c r="J108" s="1">
        <v>884</v>
      </c>
      <c r="K108" s="1">
        <v>1182</v>
      </c>
      <c r="L108">
        <v>294.07540820000003</v>
      </c>
      <c r="M108">
        <v>1.9643439999999998E-3</v>
      </c>
      <c r="N108">
        <v>-272</v>
      </c>
      <c r="O108">
        <v>245.2</v>
      </c>
      <c r="P108" s="9">
        <v>7277.4959500000004</v>
      </c>
      <c r="Q108" s="1"/>
      <c r="R108" s="1"/>
      <c r="S108" s="1"/>
      <c r="T108" s="1"/>
    </row>
    <row r="109" spans="1:20" customFormat="1">
      <c r="A109" s="1"/>
      <c r="B109" s="1">
        <v>1</v>
      </c>
      <c r="C109" s="1">
        <v>1</v>
      </c>
      <c r="D109" s="1">
        <v>3</v>
      </c>
      <c r="E109" s="1">
        <v>2</v>
      </c>
      <c r="F109" s="1">
        <v>1</v>
      </c>
      <c r="G109" s="1">
        <v>2</v>
      </c>
      <c r="H109" s="1">
        <v>4</v>
      </c>
      <c r="I109" s="1">
        <v>15</v>
      </c>
      <c r="J109" s="1">
        <v>392</v>
      </c>
      <c r="K109" s="1">
        <v>1260</v>
      </c>
      <c r="L109">
        <v>154.6851934</v>
      </c>
      <c r="M109">
        <v>1.9696900000000001E-3</v>
      </c>
      <c r="N109">
        <v>-142.30000000000001</v>
      </c>
      <c r="O109">
        <v>138.30000000000001</v>
      </c>
      <c r="P109" s="9">
        <v>54589.245990000003</v>
      </c>
      <c r="Q109" s="1"/>
      <c r="R109" s="1"/>
      <c r="S109" s="1"/>
      <c r="T109" s="1"/>
    </row>
    <row r="110" spans="1:20" customFormat="1">
      <c r="A110" s="1"/>
      <c r="B110" s="1">
        <v>1</v>
      </c>
      <c r="C110" s="1">
        <v>1</v>
      </c>
      <c r="D110" s="1">
        <v>3</v>
      </c>
      <c r="E110" s="1">
        <v>2</v>
      </c>
      <c r="F110" s="1">
        <v>1</v>
      </c>
      <c r="G110" s="1">
        <v>2</v>
      </c>
      <c r="H110" s="1">
        <v>4</v>
      </c>
      <c r="I110" s="1">
        <v>15</v>
      </c>
      <c r="J110" s="1">
        <v>446</v>
      </c>
      <c r="K110" s="1">
        <v>1260</v>
      </c>
      <c r="L110">
        <v>122.28760939999999</v>
      </c>
      <c r="M110">
        <v>9.0012299999999996E-4</v>
      </c>
      <c r="N110">
        <v>-102</v>
      </c>
      <c r="O110">
        <v>134.1</v>
      </c>
      <c r="P110" s="9">
        <v>5621.9903409999997</v>
      </c>
      <c r="Q110" s="1"/>
      <c r="R110" s="1"/>
      <c r="S110" s="1"/>
      <c r="T110" s="1"/>
    </row>
    <row r="111" spans="1:20" customFormat="1">
      <c r="A111" s="1"/>
      <c r="B111" s="10">
        <v>1</v>
      </c>
      <c r="C111" s="1">
        <v>1</v>
      </c>
      <c r="D111" s="1">
        <v>3</v>
      </c>
      <c r="E111" s="1">
        <v>2</v>
      </c>
      <c r="F111" s="1">
        <v>1</v>
      </c>
      <c r="G111" s="10">
        <v>1</v>
      </c>
      <c r="H111" s="1">
        <v>4</v>
      </c>
      <c r="I111" s="1">
        <v>15</v>
      </c>
      <c r="J111" s="10">
        <v>120</v>
      </c>
      <c r="K111" s="10">
        <v>1338</v>
      </c>
      <c r="L111" s="12">
        <v>222.2447372</v>
      </c>
      <c r="M111" s="12">
        <v>8.9999999999999998E-4</v>
      </c>
      <c r="N111" s="12">
        <v>-191.854175</v>
      </c>
      <c r="O111" s="12">
        <v>196.7</v>
      </c>
      <c r="P111" s="9">
        <v>251.90791390000001</v>
      </c>
      <c r="Q111" s="1"/>
      <c r="R111" s="1"/>
      <c r="S111" s="1"/>
      <c r="T111" s="1"/>
    </row>
    <row r="112" spans="1:20" customFormat="1">
      <c r="A112" s="1"/>
      <c r="B112" s="1">
        <v>1</v>
      </c>
      <c r="C112" s="1">
        <v>1</v>
      </c>
      <c r="D112" s="1">
        <v>3</v>
      </c>
      <c r="E112" s="1">
        <v>2</v>
      </c>
      <c r="F112" s="1">
        <v>1</v>
      </c>
      <c r="G112" s="1">
        <v>2</v>
      </c>
      <c r="H112" s="1">
        <v>4</v>
      </c>
      <c r="I112" s="1">
        <v>15</v>
      </c>
      <c r="J112" s="1">
        <v>516</v>
      </c>
      <c r="K112" s="1">
        <v>1031</v>
      </c>
      <c r="L112">
        <v>122.90907300000001</v>
      </c>
      <c r="M112">
        <v>1.5556719999999999E-3</v>
      </c>
      <c r="N112">
        <v>-115.5</v>
      </c>
      <c r="O112">
        <v>113.7</v>
      </c>
      <c r="P112" s="9">
        <v>16753.52475</v>
      </c>
      <c r="Q112" s="1"/>
      <c r="R112" s="1"/>
      <c r="S112" s="1"/>
      <c r="T112" s="1"/>
    </row>
    <row r="113" spans="1:20" customFormat="1">
      <c r="A113" s="1"/>
      <c r="B113" s="1">
        <v>1</v>
      </c>
      <c r="C113" s="1">
        <v>1</v>
      </c>
      <c r="D113" s="1">
        <v>3</v>
      </c>
      <c r="E113" s="1">
        <v>2</v>
      </c>
      <c r="F113" s="1">
        <v>1</v>
      </c>
      <c r="G113" s="1">
        <v>2</v>
      </c>
      <c r="H113" s="1">
        <v>4</v>
      </c>
      <c r="I113" s="1">
        <v>15</v>
      </c>
      <c r="J113" s="1">
        <v>863</v>
      </c>
      <c r="K113" s="1">
        <v>1208</v>
      </c>
      <c r="L113">
        <v>201.02844260000001</v>
      </c>
      <c r="M113">
        <v>9.0105100000000004E-4</v>
      </c>
      <c r="N113">
        <v>-139.30000000000001</v>
      </c>
      <c r="O113">
        <v>176.3</v>
      </c>
      <c r="P113" s="9">
        <v>6108.2491659999996</v>
      </c>
      <c r="Q113" s="1"/>
      <c r="R113" s="1"/>
      <c r="S113" s="1"/>
      <c r="T113" s="1"/>
    </row>
    <row r="114" spans="1:20" customFormat="1">
      <c r="A114" s="1"/>
      <c r="B114" s="1">
        <v>1</v>
      </c>
      <c r="C114" s="1">
        <v>1</v>
      </c>
      <c r="D114" s="1">
        <v>3</v>
      </c>
      <c r="E114" s="1">
        <v>1</v>
      </c>
      <c r="F114" s="1">
        <v>3</v>
      </c>
      <c r="G114" s="1">
        <v>2</v>
      </c>
      <c r="H114" s="1">
        <v>3</v>
      </c>
      <c r="I114" s="1">
        <v>15</v>
      </c>
      <c r="J114" s="1">
        <v>34</v>
      </c>
      <c r="K114" s="1">
        <v>29</v>
      </c>
      <c r="L114">
        <v>89.037000000000006</v>
      </c>
      <c r="M114">
        <v>1.5712289999999999E-3</v>
      </c>
      <c r="N114">
        <v>-83.7</v>
      </c>
      <c r="O114">
        <v>81.099999999999994</v>
      </c>
      <c r="P114" s="9">
        <v>4026.1600920000001</v>
      </c>
      <c r="Q114" s="1"/>
      <c r="R114" s="1"/>
      <c r="S114" s="1"/>
      <c r="T114" s="1"/>
    </row>
    <row r="115" spans="1:20" customFormat="1">
      <c r="A115" s="1"/>
      <c r="B115" s="1">
        <v>1</v>
      </c>
      <c r="C115" s="1">
        <v>1</v>
      </c>
      <c r="D115" s="1">
        <v>3</v>
      </c>
      <c r="E115" s="1">
        <v>1</v>
      </c>
      <c r="F115" s="1">
        <v>3</v>
      </c>
      <c r="G115" s="1">
        <v>2</v>
      </c>
      <c r="H115" s="1">
        <v>3</v>
      </c>
      <c r="I115" s="1">
        <v>15</v>
      </c>
      <c r="J115" s="1">
        <v>59</v>
      </c>
      <c r="K115" s="1">
        <v>104</v>
      </c>
      <c r="L115">
        <v>75.512837989999994</v>
      </c>
      <c r="M115">
        <v>1.5869409999999999E-3</v>
      </c>
      <c r="N115">
        <v>-71</v>
      </c>
      <c r="O115">
        <v>68.8</v>
      </c>
      <c r="P115" s="9">
        <v>2223.5254490000002</v>
      </c>
      <c r="Q115" s="1"/>
      <c r="R115" s="1"/>
      <c r="S115" s="1"/>
      <c r="T115" s="1"/>
    </row>
    <row r="116" spans="1:20" customFormat="1">
      <c r="A116" s="1"/>
      <c r="B116" s="1">
        <v>1</v>
      </c>
      <c r="C116" s="1">
        <v>1</v>
      </c>
      <c r="D116" s="1">
        <v>3</v>
      </c>
      <c r="E116" s="1">
        <v>1</v>
      </c>
      <c r="F116" s="1">
        <v>3</v>
      </c>
      <c r="G116" s="1">
        <v>3</v>
      </c>
      <c r="H116" s="1">
        <v>3</v>
      </c>
      <c r="I116" s="1">
        <v>15</v>
      </c>
      <c r="J116" s="1">
        <v>88</v>
      </c>
      <c r="K116" s="1">
        <v>105</v>
      </c>
      <c r="L116">
        <v>107.709417</v>
      </c>
      <c r="M116">
        <v>1.602811E-3</v>
      </c>
      <c r="N116">
        <v>-101.2</v>
      </c>
      <c r="O116">
        <v>98.1</v>
      </c>
      <c r="P116" s="9">
        <v>10880.091839999999</v>
      </c>
      <c r="Q116" s="1"/>
      <c r="R116" s="1"/>
      <c r="S116" s="1"/>
      <c r="T116" s="1"/>
    </row>
    <row r="117" spans="1:20" customFormat="1">
      <c r="A117" s="1"/>
      <c r="B117" s="1">
        <v>2</v>
      </c>
      <c r="C117" s="1">
        <v>2</v>
      </c>
      <c r="D117" s="1">
        <v>2</v>
      </c>
      <c r="E117" s="1">
        <v>2</v>
      </c>
      <c r="F117" s="1">
        <v>1</v>
      </c>
      <c r="G117" s="1">
        <v>2</v>
      </c>
      <c r="H117" s="1">
        <v>3</v>
      </c>
      <c r="I117" s="1">
        <v>15</v>
      </c>
      <c r="J117" s="1">
        <v>50</v>
      </c>
      <c r="K117" s="1">
        <f>8379-6420</f>
        <v>1959</v>
      </c>
      <c r="L117">
        <v>302.78072659999998</v>
      </c>
      <c r="M117">
        <v>9.3128899999999997E-4</v>
      </c>
      <c r="N117">
        <v>-263.60000000000002</v>
      </c>
      <c r="O117">
        <v>274.60000000000002</v>
      </c>
      <c r="P117" s="9">
        <v>10298.646940000001</v>
      </c>
      <c r="Q117" s="1"/>
      <c r="R117" s="1"/>
      <c r="S117" s="1"/>
      <c r="T117" s="1"/>
    </row>
    <row r="118" spans="1:20" customFormat="1">
      <c r="A118" s="1"/>
      <c r="B118" s="1">
        <v>2</v>
      </c>
      <c r="C118" s="1">
        <v>2</v>
      </c>
      <c r="D118" s="1">
        <v>2</v>
      </c>
      <c r="E118" s="1">
        <v>2</v>
      </c>
      <c r="F118" s="1">
        <v>1</v>
      </c>
      <c r="G118" s="1">
        <v>2</v>
      </c>
      <c r="H118" s="1">
        <v>1</v>
      </c>
      <c r="I118" s="1">
        <v>20</v>
      </c>
      <c r="J118" s="1">
        <v>1572</v>
      </c>
      <c r="K118" s="1">
        <v>2001</v>
      </c>
      <c r="L118">
        <v>274.97000000000003</v>
      </c>
      <c r="M118">
        <v>1.618839E-3</v>
      </c>
      <c r="N118">
        <v>-258.5</v>
      </c>
      <c r="O118">
        <v>252.8</v>
      </c>
      <c r="P118" s="9">
        <v>-7129.9666040000002</v>
      </c>
      <c r="Q118" s="1" t="s">
        <v>31</v>
      </c>
      <c r="R118" s="1"/>
      <c r="S118" s="1"/>
      <c r="T118" s="1"/>
    </row>
    <row r="119" spans="1:20" customFormat="1">
      <c r="A119" s="1"/>
      <c r="B119" s="1">
        <v>2</v>
      </c>
      <c r="C119" s="1">
        <v>2</v>
      </c>
      <c r="D119" s="1">
        <v>2</v>
      </c>
      <c r="E119" s="1">
        <v>2</v>
      </c>
      <c r="F119" s="1">
        <v>1</v>
      </c>
      <c r="G119" s="1">
        <v>2</v>
      </c>
      <c r="H119" s="1">
        <v>1</v>
      </c>
      <c r="I119" s="1">
        <v>15</v>
      </c>
      <c r="J119" s="1">
        <v>43</v>
      </c>
      <c r="K119" s="1">
        <f>8855-7359</f>
        <v>1496</v>
      </c>
      <c r="L119">
        <v>355.67729179999998</v>
      </c>
      <c r="M119">
        <v>1.3211939999999999E-3</v>
      </c>
      <c r="N119">
        <v>-311</v>
      </c>
      <c r="O119">
        <v>307.3</v>
      </c>
      <c r="P119" s="9">
        <v>12935.768389999999</v>
      </c>
      <c r="Q119" s="1"/>
      <c r="R119" s="1"/>
      <c r="S119" s="1"/>
      <c r="T119" s="1"/>
    </row>
    <row r="120" spans="1:20" customFormat="1">
      <c r="A120" s="1"/>
      <c r="B120" s="1">
        <v>2</v>
      </c>
      <c r="C120" s="1">
        <v>2</v>
      </c>
      <c r="D120" s="1">
        <v>2</v>
      </c>
      <c r="E120" s="1">
        <v>2</v>
      </c>
      <c r="F120" s="1">
        <v>1</v>
      </c>
      <c r="G120" s="1">
        <v>2</v>
      </c>
      <c r="H120" s="1">
        <v>1</v>
      </c>
      <c r="I120" s="1">
        <v>20</v>
      </c>
      <c r="J120" s="1">
        <v>200</v>
      </c>
      <c r="K120" s="1">
        <f>10425-7423</f>
        <v>3002</v>
      </c>
      <c r="L120">
        <v>540.28940509999995</v>
      </c>
      <c r="M120">
        <v>9.4603099999999996E-4</v>
      </c>
      <c r="N120">
        <v>-414.2</v>
      </c>
      <c r="O120">
        <v>475.3</v>
      </c>
      <c r="P120" s="9">
        <v>-12742.807349999999</v>
      </c>
      <c r="Q120" s="1"/>
      <c r="R120" s="1"/>
      <c r="S120" s="1"/>
      <c r="T120" s="1"/>
    </row>
    <row r="121" spans="1:20" customFormat="1">
      <c r="A121" s="1"/>
      <c r="B121" s="1">
        <v>2</v>
      </c>
      <c r="C121" s="1">
        <v>2</v>
      </c>
      <c r="D121" s="1">
        <v>2</v>
      </c>
      <c r="E121" s="1">
        <v>1</v>
      </c>
      <c r="F121" s="1">
        <v>1</v>
      </c>
      <c r="G121" s="1">
        <v>1</v>
      </c>
      <c r="H121" s="1">
        <v>4</v>
      </c>
      <c r="I121" s="1">
        <v>20</v>
      </c>
      <c r="J121" s="1">
        <v>121</v>
      </c>
      <c r="K121" s="1">
        <v>34</v>
      </c>
      <c r="L121">
        <v>119.841358</v>
      </c>
      <c r="M121">
        <v>1.6350270000000001E-3</v>
      </c>
      <c r="N121">
        <v>-112.9</v>
      </c>
      <c r="O121">
        <v>109.3</v>
      </c>
      <c r="P121" s="9">
        <v>13740.217839999999</v>
      </c>
      <c r="Q121" s="1"/>
      <c r="R121" s="1"/>
      <c r="S121" s="1"/>
      <c r="T121" s="1"/>
    </row>
    <row r="122" spans="1:20" customFormat="1">
      <c r="A122" s="1"/>
      <c r="B122" s="1">
        <v>2</v>
      </c>
      <c r="C122" s="1">
        <v>2</v>
      </c>
      <c r="D122" s="1">
        <v>2</v>
      </c>
      <c r="E122" s="1">
        <v>2</v>
      </c>
      <c r="F122" s="1">
        <v>1</v>
      </c>
      <c r="G122" s="1">
        <v>2</v>
      </c>
      <c r="H122" s="1">
        <v>2</v>
      </c>
      <c r="I122" s="1">
        <v>20</v>
      </c>
      <c r="J122" s="1">
        <v>59</v>
      </c>
      <c r="K122" s="1">
        <v>3000</v>
      </c>
      <c r="L122">
        <v>291.14319999999998</v>
      </c>
      <c r="M122">
        <v>1.6513770000000001E-3</v>
      </c>
      <c r="N122">
        <v>-275</v>
      </c>
      <c r="O122">
        <v>266.8</v>
      </c>
      <c r="P122" s="9">
        <v>12757.78996</v>
      </c>
      <c r="Q122" s="1"/>
      <c r="R122" s="1"/>
      <c r="S122" s="1"/>
      <c r="T122" s="1"/>
    </row>
    <row r="123" spans="1:20" customFormat="1">
      <c r="A123" s="1"/>
      <c r="B123" s="1">
        <v>2</v>
      </c>
      <c r="C123" s="1">
        <v>2</v>
      </c>
      <c r="D123" s="1">
        <v>2</v>
      </c>
      <c r="E123" s="1">
        <v>2</v>
      </c>
      <c r="F123" s="1">
        <v>1</v>
      </c>
      <c r="G123" s="1">
        <v>1</v>
      </c>
      <c r="H123" s="1">
        <v>4</v>
      </c>
      <c r="I123" s="1">
        <v>20</v>
      </c>
      <c r="J123" s="1">
        <v>2350</v>
      </c>
      <c r="K123" s="1">
        <v>2825</v>
      </c>
      <c r="L123">
        <v>613.42999999999995</v>
      </c>
      <c r="M123">
        <v>1.6678909999999999E-3</v>
      </c>
      <c r="N123">
        <v>-576.20000000000005</v>
      </c>
      <c r="O123">
        <v>566</v>
      </c>
      <c r="P123" s="9">
        <v>17986.931919999999</v>
      </c>
      <c r="Q123" s="1"/>
      <c r="R123" s="1"/>
      <c r="S123" s="1"/>
      <c r="T123" s="1"/>
    </row>
    <row r="124" spans="1:20" customFormat="1">
      <c r="A124" s="1"/>
      <c r="B124" s="1">
        <v>2</v>
      </c>
      <c r="C124" s="1">
        <v>2</v>
      </c>
      <c r="D124" s="1">
        <v>2</v>
      </c>
      <c r="E124" s="1">
        <v>2</v>
      </c>
      <c r="F124" s="1">
        <v>1</v>
      </c>
      <c r="G124" s="1">
        <v>2</v>
      </c>
      <c r="H124" s="1">
        <v>4</v>
      </c>
      <c r="I124" s="1">
        <v>20</v>
      </c>
      <c r="J124" s="1">
        <v>1058</v>
      </c>
      <c r="K124" s="1">
        <v>3000</v>
      </c>
      <c r="L124">
        <v>327.0236352</v>
      </c>
      <c r="M124">
        <v>4.8926020000000002E-3</v>
      </c>
      <c r="N124">
        <v>-271.60000000000002</v>
      </c>
      <c r="O124">
        <v>232.7</v>
      </c>
      <c r="P124" s="9">
        <v>28516.780699999999</v>
      </c>
      <c r="Q124" s="1"/>
      <c r="R124" s="1"/>
      <c r="S124" s="1"/>
      <c r="T124" s="1"/>
    </row>
    <row r="125" spans="1:20" customFormat="1">
      <c r="A125" s="1"/>
      <c r="B125" s="1">
        <v>2</v>
      </c>
      <c r="C125" s="1">
        <v>2</v>
      </c>
      <c r="D125" s="1">
        <v>2</v>
      </c>
      <c r="E125" s="1">
        <v>2</v>
      </c>
      <c r="F125" s="1">
        <v>1</v>
      </c>
      <c r="G125" s="1">
        <v>1</v>
      </c>
      <c r="H125" s="1">
        <v>2</v>
      </c>
      <c r="I125" s="1">
        <v>20</v>
      </c>
      <c r="J125" s="1">
        <v>50</v>
      </c>
      <c r="K125" s="1">
        <v>2988</v>
      </c>
      <c r="L125">
        <v>304.88799999999998</v>
      </c>
      <c r="M125">
        <v>1.68457E-3</v>
      </c>
      <c r="N125">
        <v>-287</v>
      </c>
      <c r="O125">
        <v>287.3</v>
      </c>
      <c r="P125" s="9">
        <v>17573.234779999999</v>
      </c>
      <c r="Q125" s="1"/>
      <c r="R125" s="1"/>
      <c r="S125" s="1"/>
      <c r="T125" s="1"/>
    </row>
    <row r="126" spans="1:20" customFormat="1">
      <c r="A126" s="1"/>
      <c r="B126" s="1">
        <v>2</v>
      </c>
      <c r="C126" s="1">
        <v>2</v>
      </c>
      <c r="D126" s="1">
        <v>2</v>
      </c>
      <c r="E126" s="1">
        <v>1</v>
      </c>
      <c r="F126" s="1">
        <v>1</v>
      </c>
      <c r="G126" s="1">
        <v>3</v>
      </c>
      <c r="H126" s="1">
        <v>1</v>
      </c>
      <c r="I126" s="1">
        <v>20</v>
      </c>
      <c r="J126" s="1">
        <v>129</v>
      </c>
      <c r="K126" s="1">
        <v>3411</v>
      </c>
      <c r="L126">
        <v>361.56925999999999</v>
      </c>
      <c r="M126">
        <v>1.1890480000000001E-3</v>
      </c>
      <c r="N126">
        <v>-333.8</v>
      </c>
      <c r="O126">
        <v>318.60000000000002</v>
      </c>
      <c r="P126" s="9">
        <v>13897.543799999999</v>
      </c>
      <c r="Q126" s="1"/>
      <c r="R126" s="1"/>
      <c r="S126" s="1"/>
      <c r="T126" s="1"/>
    </row>
    <row r="127" spans="1:20" customFormat="1">
      <c r="A127" s="1"/>
      <c r="B127" s="1">
        <v>2</v>
      </c>
      <c r="C127" s="1">
        <v>2</v>
      </c>
      <c r="D127" s="1">
        <v>2</v>
      </c>
      <c r="E127" s="1">
        <v>2</v>
      </c>
      <c r="F127" s="1">
        <v>1</v>
      </c>
      <c r="G127" s="1">
        <v>2</v>
      </c>
      <c r="H127" s="1">
        <v>1</v>
      </c>
      <c r="I127" s="1">
        <v>20</v>
      </c>
      <c r="J127" s="1">
        <v>200</v>
      </c>
      <c r="K127" s="1">
        <f>10464-7601</f>
        <v>2863</v>
      </c>
      <c r="L127">
        <v>641.71720540000001</v>
      </c>
      <c r="M127">
        <v>1.187399E-3</v>
      </c>
      <c r="N127">
        <v>-576.79999999999995</v>
      </c>
      <c r="O127">
        <v>564.29999999999995</v>
      </c>
      <c r="P127" s="9">
        <v>-32904.763780000001</v>
      </c>
      <c r="Q127" s="1"/>
      <c r="R127" s="1"/>
      <c r="S127" s="1"/>
      <c r="T127" s="1"/>
    </row>
    <row r="128" spans="1:20">
      <c r="B128" s="1">
        <v>2</v>
      </c>
      <c r="C128" s="1">
        <v>2</v>
      </c>
      <c r="D128" s="1">
        <v>2</v>
      </c>
      <c r="E128" s="1">
        <v>2</v>
      </c>
      <c r="F128" s="1">
        <v>1</v>
      </c>
      <c r="G128" s="1">
        <v>2</v>
      </c>
      <c r="H128" s="1">
        <v>1</v>
      </c>
      <c r="I128" s="1">
        <v>20</v>
      </c>
      <c r="J128" s="1">
        <v>2500</v>
      </c>
      <c r="K128" s="1">
        <v>3500</v>
      </c>
      <c r="L128">
        <v>669.94477700000004</v>
      </c>
      <c r="M128">
        <v>3.4431000000000002E-3</v>
      </c>
      <c r="N128">
        <v>-643.79999999999995</v>
      </c>
      <c r="O128">
        <v>510.2</v>
      </c>
      <c r="P128" s="9">
        <v>24723.876329999999</v>
      </c>
    </row>
    <row r="129" spans="2:17">
      <c r="B129" s="1">
        <v>2</v>
      </c>
      <c r="C129" s="1">
        <v>2</v>
      </c>
      <c r="D129" s="1">
        <v>2</v>
      </c>
      <c r="E129" s="1">
        <v>2</v>
      </c>
      <c r="F129" s="1">
        <v>1</v>
      </c>
      <c r="G129" s="1">
        <v>1</v>
      </c>
      <c r="H129" s="1">
        <v>4</v>
      </c>
      <c r="I129" s="1">
        <v>20</v>
      </c>
      <c r="J129" s="13">
        <v>2500</v>
      </c>
      <c r="K129" s="1">
        <v>3000</v>
      </c>
      <c r="L129">
        <v>362</v>
      </c>
      <c r="M129">
        <v>1.7014160000000001E-3</v>
      </c>
      <c r="N129">
        <v>-329.9</v>
      </c>
      <c r="O129">
        <v>335.8</v>
      </c>
      <c r="P129" s="9">
        <v>5928.9631040000004</v>
      </c>
    </row>
    <row r="130" spans="2:17">
      <c r="B130" s="1">
        <v>2</v>
      </c>
      <c r="C130" s="1">
        <v>2</v>
      </c>
      <c r="D130" s="1">
        <v>2</v>
      </c>
      <c r="E130" s="1">
        <v>2</v>
      </c>
      <c r="F130" s="1">
        <v>1</v>
      </c>
      <c r="G130" s="1">
        <v>2</v>
      </c>
      <c r="H130" s="1">
        <v>2</v>
      </c>
      <c r="I130" s="1">
        <v>15</v>
      </c>
      <c r="J130" s="1">
        <v>2145</v>
      </c>
      <c r="K130" s="1">
        <v>2868</v>
      </c>
      <c r="L130">
        <v>421.97</v>
      </c>
      <c r="M130">
        <v>1.71843E-3</v>
      </c>
      <c r="N130">
        <v>-396.9</v>
      </c>
      <c r="O130">
        <v>391.9</v>
      </c>
      <c r="P130" s="9">
        <v>-10107.12155</v>
      </c>
      <c r="Q130" s="1" t="s">
        <v>31</v>
      </c>
    </row>
    <row r="131" spans="2:17">
      <c r="B131" s="1">
        <v>2</v>
      </c>
      <c r="C131" s="1">
        <v>2</v>
      </c>
      <c r="D131" s="1">
        <v>2</v>
      </c>
      <c r="E131" s="1">
        <v>2</v>
      </c>
      <c r="F131" s="1">
        <v>1</v>
      </c>
      <c r="G131" s="1">
        <v>1</v>
      </c>
      <c r="H131" s="1">
        <v>4</v>
      </c>
      <c r="I131" s="1">
        <v>20</v>
      </c>
      <c r="J131" s="13">
        <v>3197</v>
      </c>
      <c r="K131" s="1">
        <v>2861</v>
      </c>
      <c r="L131">
        <v>380.09180359999999</v>
      </c>
      <c r="M131">
        <v>2.1834070000000001E-3</v>
      </c>
      <c r="N131">
        <v>-354.3</v>
      </c>
      <c r="O131">
        <v>307.2</v>
      </c>
      <c r="P131" s="9">
        <v>33324.822379999998</v>
      </c>
    </row>
    <row r="132" spans="2:17">
      <c r="B132" s="1">
        <v>2</v>
      </c>
      <c r="C132" s="1">
        <v>2</v>
      </c>
      <c r="D132" s="1">
        <v>2</v>
      </c>
      <c r="E132" s="1">
        <v>2</v>
      </c>
      <c r="F132" s="1">
        <v>1</v>
      </c>
      <c r="G132" s="1">
        <v>3</v>
      </c>
      <c r="H132" s="1">
        <v>4</v>
      </c>
      <c r="I132" s="1">
        <v>15</v>
      </c>
      <c r="J132" s="1">
        <v>2678</v>
      </c>
      <c r="K132" s="1">
        <f>(10610-7749)+(10380-7620)</f>
        <v>5621</v>
      </c>
      <c r="L132">
        <v>328.79805900000002</v>
      </c>
      <c r="M132">
        <v>1.7356139999999999E-3</v>
      </c>
      <c r="N132">
        <v>-304.7</v>
      </c>
      <c r="O132">
        <v>305.5</v>
      </c>
      <c r="P132" s="9">
        <v>2017.0493750000001</v>
      </c>
    </row>
    <row r="133" spans="2:17">
      <c r="B133" s="1">
        <v>2</v>
      </c>
      <c r="C133" s="1">
        <v>2</v>
      </c>
      <c r="D133" s="1">
        <v>2</v>
      </c>
      <c r="E133" s="1">
        <v>2</v>
      </c>
      <c r="F133" s="1">
        <v>1</v>
      </c>
      <c r="G133" s="1">
        <v>2</v>
      </c>
      <c r="H133" s="1">
        <v>1</v>
      </c>
      <c r="I133" s="1">
        <v>20</v>
      </c>
      <c r="J133" s="1">
        <v>987</v>
      </c>
      <c r="K133" s="1">
        <v>2799</v>
      </c>
      <c r="L133">
        <v>214.63323009999999</v>
      </c>
      <c r="M133">
        <v>1.4343489999999999E-3</v>
      </c>
      <c r="N133">
        <v>-196.8</v>
      </c>
      <c r="O133">
        <v>185.4</v>
      </c>
      <c r="P133" s="9">
        <v>14145.81697</v>
      </c>
    </row>
    <row r="134" spans="2:17">
      <c r="B134" s="1">
        <v>2</v>
      </c>
      <c r="C134" s="1">
        <v>2</v>
      </c>
      <c r="D134" s="1">
        <v>2</v>
      </c>
      <c r="E134" s="1">
        <v>2</v>
      </c>
      <c r="F134" s="1">
        <v>1</v>
      </c>
      <c r="G134" s="1">
        <v>1</v>
      </c>
      <c r="H134" s="1">
        <v>4</v>
      </c>
      <c r="I134" s="1">
        <v>20</v>
      </c>
      <c r="J134" s="14">
        <f>K134*30/42</f>
        <v>2487.8571428571427</v>
      </c>
      <c r="K134" s="1">
        <v>3483</v>
      </c>
      <c r="L134">
        <v>589.9901969</v>
      </c>
      <c r="M134">
        <v>9.5720699999999996E-4</v>
      </c>
      <c r="N134">
        <v>-452.4</v>
      </c>
      <c r="O134">
        <v>522.79999999999995</v>
      </c>
      <c r="P134" s="9">
        <v>86382.220820000002</v>
      </c>
    </row>
    <row r="135" spans="2:17">
      <c r="B135" s="1">
        <v>2</v>
      </c>
      <c r="C135" s="1">
        <v>2</v>
      </c>
      <c r="D135" s="1">
        <v>2</v>
      </c>
      <c r="E135" s="1">
        <v>2</v>
      </c>
      <c r="F135" s="1">
        <v>1</v>
      </c>
      <c r="G135" s="1">
        <v>3</v>
      </c>
      <c r="H135" s="1">
        <v>4</v>
      </c>
      <c r="I135" s="1">
        <v>20</v>
      </c>
      <c r="J135" s="1">
        <v>2488</v>
      </c>
      <c r="K135" s="1">
        <f>11650-8167</f>
        <v>3483</v>
      </c>
      <c r="L135">
        <v>571.697227</v>
      </c>
      <c r="M135">
        <v>1.75297E-3</v>
      </c>
      <c r="N135">
        <v>-518.5</v>
      </c>
      <c r="O135">
        <v>521.20000000000005</v>
      </c>
      <c r="P135" s="9">
        <v>4493.0999510000001</v>
      </c>
    </row>
    <row r="136" spans="2:17">
      <c r="B136" s="1">
        <v>2</v>
      </c>
      <c r="C136" s="1">
        <v>2</v>
      </c>
      <c r="D136" s="1">
        <v>2</v>
      </c>
      <c r="E136" s="1">
        <v>1</v>
      </c>
      <c r="F136" s="1">
        <v>1</v>
      </c>
      <c r="G136" s="1">
        <v>2</v>
      </c>
      <c r="H136" s="1">
        <v>3</v>
      </c>
      <c r="I136" s="1">
        <v>20</v>
      </c>
      <c r="J136" s="1">
        <v>893</v>
      </c>
      <c r="K136" s="1">
        <v>250</v>
      </c>
      <c r="L136">
        <v>345.86900300000002</v>
      </c>
      <c r="M136">
        <v>9.4618100000000004E-4</v>
      </c>
      <c r="N136">
        <v>-279.5</v>
      </c>
      <c r="O136">
        <v>301.60000000000002</v>
      </c>
      <c r="P136" s="9">
        <v>-5340.8536020000001</v>
      </c>
    </row>
    <row r="137" spans="2:17">
      <c r="B137" s="1">
        <v>2</v>
      </c>
      <c r="C137" s="1">
        <v>2</v>
      </c>
      <c r="D137" s="1">
        <v>2</v>
      </c>
      <c r="E137" s="1">
        <v>2</v>
      </c>
      <c r="F137" s="1">
        <v>1</v>
      </c>
      <c r="G137" s="1">
        <v>1</v>
      </c>
      <c r="H137" s="1">
        <v>4</v>
      </c>
      <c r="I137" s="1">
        <v>20</v>
      </c>
      <c r="J137" s="1">
        <v>1190</v>
      </c>
      <c r="K137" s="1">
        <v>2059</v>
      </c>
      <c r="L137">
        <v>231.005</v>
      </c>
      <c r="M137">
        <v>1.7704999999999999E-3</v>
      </c>
      <c r="N137">
        <v>-217.1</v>
      </c>
      <c r="O137">
        <v>216.9</v>
      </c>
      <c r="P137" s="9">
        <v>12136.661770000001</v>
      </c>
    </row>
    <row r="138" spans="2:17" s="13" customFormat="1">
      <c r="B138" s="13">
        <v>2</v>
      </c>
      <c r="C138" s="13">
        <v>2</v>
      </c>
      <c r="D138" s="13">
        <v>2</v>
      </c>
      <c r="E138" s="13">
        <v>1</v>
      </c>
      <c r="F138" s="13">
        <v>1</v>
      </c>
      <c r="G138" s="13">
        <v>1</v>
      </c>
      <c r="I138" s="1" t="s">
        <v>32</v>
      </c>
      <c r="L138">
        <v>607.97817999999995</v>
      </c>
      <c r="M138">
        <v>1.788205E-3</v>
      </c>
      <c r="N138">
        <v>-499.1</v>
      </c>
      <c r="O138">
        <v>558</v>
      </c>
      <c r="P138" s="15">
        <v>-12660.44737</v>
      </c>
      <c r="Q138" s="13" t="s">
        <v>31</v>
      </c>
    </row>
    <row r="139" spans="2:17">
      <c r="B139" s="1">
        <v>2</v>
      </c>
      <c r="C139" s="1">
        <v>2</v>
      </c>
      <c r="D139" s="1">
        <v>2</v>
      </c>
      <c r="E139" s="1">
        <v>2</v>
      </c>
      <c r="F139" s="1">
        <v>1</v>
      </c>
      <c r="G139" s="1">
        <v>1</v>
      </c>
      <c r="H139" s="1">
        <v>2</v>
      </c>
      <c r="I139" s="1">
        <v>15</v>
      </c>
      <c r="J139" s="1">
        <v>20</v>
      </c>
      <c r="K139" s="1">
        <f>10824-9185</f>
        <v>1639</v>
      </c>
      <c r="L139">
        <v>1144.0745119999999</v>
      </c>
      <c r="M139">
        <v>1.1075569999999999E-3</v>
      </c>
      <c r="N139">
        <v>-990.3</v>
      </c>
      <c r="O139">
        <v>1000.6</v>
      </c>
      <c r="P139" s="9">
        <v>34478.246659999997</v>
      </c>
    </row>
    <row r="140" spans="2:17">
      <c r="B140" s="1">
        <v>2</v>
      </c>
      <c r="C140" s="1">
        <v>2</v>
      </c>
      <c r="D140" s="1">
        <v>2</v>
      </c>
      <c r="E140" s="1">
        <v>2</v>
      </c>
      <c r="F140" s="1">
        <v>1</v>
      </c>
      <c r="G140" s="1">
        <v>2</v>
      </c>
      <c r="H140" s="1">
        <v>3</v>
      </c>
      <c r="I140" s="1">
        <v>20</v>
      </c>
      <c r="J140" s="1">
        <v>209</v>
      </c>
      <c r="K140" s="1">
        <f>10500-9134</f>
        <v>1366</v>
      </c>
      <c r="L140">
        <v>324.83206259999997</v>
      </c>
      <c r="M140">
        <v>9.4709199999999996E-4</v>
      </c>
      <c r="N140">
        <v>-295.39999999999998</v>
      </c>
      <c r="O140">
        <v>339.3</v>
      </c>
      <c r="P140" s="9">
        <v>29433.632529999999</v>
      </c>
    </row>
    <row r="141" spans="2:17">
      <c r="B141" s="1">
        <v>2</v>
      </c>
      <c r="C141" s="1">
        <v>2</v>
      </c>
      <c r="D141" s="1">
        <v>2</v>
      </c>
      <c r="E141" s="1">
        <v>2</v>
      </c>
      <c r="F141" s="1">
        <v>1</v>
      </c>
      <c r="G141" s="1">
        <v>2</v>
      </c>
      <c r="H141" s="1">
        <v>1</v>
      </c>
      <c r="I141" s="1">
        <v>15</v>
      </c>
      <c r="J141" s="1">
        <v>11</v>
      </c>
      <c r="K141" s="1">
        <f>11150-8998</f>
        <v>2152</v>
      </c>
      <c r="L141">
        <v>477.18178169999999</v>
      </c>
      <c r="M141">
        <v>1.1792370000000001E-3</v>
      </c>
      <c r="N141">
        <v>-425.3</v>
      </c>
      <c r="O141">
        <v>420.9</v>
      </c>
      <c r="P141" s="9">
        <v>22341.512839999999</v>
      </c>
    </row>
    <row r="142" spans="2:17">
      <c r="B142" s="1">
        <v>2</v>
      </c>
      <c r="C142" s="1">
        <v>2</v>
      </c>
      <c r="D142" s="1">
        <v>2</v>
      </c>
      <c r="E142" s="1">
        <v>2</v>
      </c>
      <c r="F142" s="1">
        <v>1</v>
      </c>
      <c r="G142" s="1">
        <v>2</v>
      </c>
      <c r="H142" s="1">
        <v>1</v>
      </c>
      <c r="I142" s="1">
        <v>20</v>
      </c>
      <c r="J142" s="1">
        <v>100</v>
      </c>
      <c r="K142" s="1">
        <v>1952</v>
      </c>
      <c r="L142">
        <v>402.00975149999999</v>
      </c>
      <c r="M142">
        <v>1.0723530000000001E-3</v>
      </c>
      <c r="N142">
        <v>-285.5</v>
      </c>
      <c r="O142">
        <v>350.1</v>
      </c>
      <c r="P142" s="9">
        <v>-11793.571679999999</v>
      </c>
    </row>
    <row r="143" spans="2:17">
      <c r="B143" s="1">
        <v>2</v>
      </c>
      <c r="C143" s="1">
        <v>2</v>
      </c>
      <c r="D143" s="1">
        <v>2</v>
      </c>
      <c r="E143" s="1">
        <v>2</v>
      </c>
      <c r="F143" s="1">
        <v>1</v>
      </c>
      <c r="G143" s="1">
        <v>2</v>
      </c>
      <c r="H143" s="1">
        <v>1</v>
      </c>
      <c r="I143" s="1">
        <v>15</v>
      </c>
      <c r="J143" s="1">
        <v>11</v>
      </c>
      <c r="K143" s="1">
        <f>10603-8350</f>
        <v>2253</v>
      </c>
      <c r="L143">
        <v>380.09782890000002</v>
      </c>
      <c r="M143">
        <v>3.0682940000000001E-3</v>
      </c>
      <c r="N143">
        <v>-313.7</v>
      </c>
      <c r="O143">
        <v>291.8</v>
      </c>
      <c r="P143" s="9">
        <v>22370.795770000001</v>
      </c>
    </row>
    <row r="144" spans="2:17">
      <c r="B144" s="1">
        <v>2</v>
      </c>
      <c r="C144" s="1">
        <v>2</v>
      </c>
      <c r="D144" s="1">
        <v>2</v>
      </c>
      <c r="E144" s="1">
        <v>2</v>
      </c>
      <c r="F144" s="1">
        <v>1</v>
      </c>
      <c r="G144" s="1">
        <v>2</v>
      </c>
      <c r="H144" s="1">
        <v>1</v>
      </c>
      <c r="I144" s="1">
        <v>20</v>
      </c>
      <c r="J144" s="1">
        <v>17</v>
      </c>
      <c r="K144" s="1">
        <f>(10718-9077)+(8964-8920)+(9060-8980)</f>
        <v>1765</v>
      </c>
      <c r="L144">
        <v>83.951740639999997</v>
      </c>
      <c r="M144">
        <v>9.13539E-4</v>
      </c>
      <c r="N144">
        <v>-69.5</v>
      </c>
      <c r="O144">
        <v>115.2</v>
      </c>
      <c r="P144" s="9">
        <v>90066.881169999993</v>
      </c>
    </row>
    <row r="145" spans="2:17">
      <c r="B145" s="1">
        <v>2</v>
      </c>
      <c r="C145" s="1">
        <v>2</v>
      </c>
      <c r="D145" s="1">
        <v>2</v>
      </c>
      <c r="E145" s="1">
        <v>2</v>
      </c>
      <c r="F145" s="1">
        <v>1</v>
      </c>
      <c r="G145" s="1">
        <v>3</v>
      </c>
      <c r="H145" s="1">
        <v>1</v>
      </c>
      <c r="I145" s="1">
        <v>15</v>
      </c>
      <c r="J145" s="1">
        <v>50</v>
      </c>
      <c r="K145" s="1">
        <v>1553</v>
      </c>
      <c r="L145">
        <v>231.20930000000001</v>
      </c>
      <c r="M145">
        <v>1.8060870000000001E-3</v>
      </c>
      <c r="N145">
        <v>-217.3</v>
      </c>
      <c r="O145">
        <v>210.7</v>
      </c>
      <c r="P145" s="9">
        <v>26226.554329999999</v>
      </c>
    </row>
    <row r="146" spans="2:17">
      <c r="B146" s="1">
        <v>2</v>
      </c>
      <c r="C146" s="1">
        <v>2</v>
      </c>
      <c r="D146" s="1">
        <v>2</v>
      </c>
      <c r="E146" s="1">
        <v>1</v>
      </c>
      <c r="F146" s="1">
        <v>1</v>
      </c>
      <c r="G146" s="1">
        <v>2</v>
      </c>
      <c r="H146" s="1">
        <v>1</v>
      </c>
      <c r="I146" s="1">
        <v>15</v>
      </c>
      <c r="J146" s="1">
        <v>25</v>
      </c>
      <c r="K146" s="1">
        <f>(8942-8928)+(8918-8895)+(8885-8870)</f>
        <v>52</v>
      </c>
      <c r="L146">
        <v>760.98400000000004</v>
      </c>
      <c r="M146">
        <v>1.824148E-3</v>
      </c>
      <c r="N146">
        <v>-703.2</v>
      </c>
      <c r="O146">
        <v>714.6</v>
      </c>
      <c r="P146" s="9">
        <v>529.9636855</v>
      </c>
    </row>
    <row r="147" spans="2:17">
      <c r="B147" s="1">
        <v>2</v>
      </c>
      <c r="C147" s="1">
        <v>2</v>
      </c>
      <c r="D147" s="1">
        <v>2</v>
      </c>
      <c r="E147" s="1">
        <v>2</v>
      </c>
      <c r="F147" s="1">
        <v>1</v>
      </c>
      <c r="G147" s="1">
        <v>2</v>
      </c>
      <c r="H147" s="1">
        <v>1</v>
      </c>
      <c r="I147" s="1">
        <v>15</v>
      </c>
      <c r="J147" s="1">
        <v>11</v>
      </c>
      <c r="K147" s="1">
        <f>10464-9095</f>
        <v>1369</v>
      </c>
      <c r="L147">
        <v>226.73223809999999</v>
      </c>
      <c r="M147">
        <v>1.8772400000000001E-3</v>
      </c>
      <c r="N147">
        <v>-216.4</v>
      </c>
      <c r="O147">
        <v>191.1</v>
      </c>
      <c r="P147" s="9">
        <v>9261.8667509999996</v>
      </c>
    </row>
    <row r="148" spans="2:17" s="13" customFormat="1">
      <c r="B148" s="13">
        <v>2</v>
      </c>
      <c r="C148" s="13">
        <v>2</v>
      </c>
      <c r="D148" s="13">
        <v>2</v>
      </c>
      <c r="E148" s="13">
        <v>1</v>
      </c>
      <c r="F148" s="13">
        <v>1</v>
      </c>
      <c r="G148" s="13" t="s">
        <v>32</v>
      </c>
      <c r="I148" s="1" t="s">
        <v>32</v>
      </c>
      <c r="L148">
        <v>542.71239049999997</v>
      </c>
      <c r="M148">
        <v>4.7804650000000002E-3</v>
      </c>
      <c r="N148">
        <v>-275.2</v>
      </c>
      <c r="O148">
        <v>597.4</v>
      </c>
      <c r="P148" s="15">
        <v>36558.994400000003</v>
      </c>
      <c r="Q148" s="13" t="s">
        <v>31</v>
      </c>
    </row>
    <row r="149" spans="2:17">
      <c r="B149" s="1">
        <v>2</v>
      </c>
      <c r="C149" s="1">
        <v>2</v>
      </c>
      <c r="D149" s="1">
        <v>1</v>
      </c>
      <c r="E149" s="1">
        <v>2</v>
      </c>
      <c r="F149" s="1">
        <v>1</v>
      </c>
      <c r="G149" s="1">
        <v>3</v>
      </c>
      <c r="H149" s="1">
        <v>4</v>
      </c>
      <c r="I149" s="1">
        <v>20</v>
      </c>
      <c r="J149" s="1">
        <v>428</v>
      </c>
      <c r="K149" s="1">
        <v>1797</v>
      </c>
      <c r="L149">
        <v>194.8664526</v>
      </c>
      <c r="M149">
        <v>1.024861E-3</v>
      </c>
      <c r="N149">
        <v>-114.4</v>
      </c>
      <c r="O149">
        <v>192.1</v>
      </c>
      <c r="P149" s="9">
        <v>5127.2980260000004</v>
      </c>
    </row>
    <row r="150" spans="2:17">
      <c r="B150" s="1">
        <v>2</v>
      </c>
      <c r="C150" s="1">
        <v>2</v>
      </c>
      <c r="D150" s="1">
        <v>2</v>
      </c>
      <c r="E150" s="1">
        <v>2</v>
      </c>
      <c r="F150" s="1">
        <v>1</v>
      </c>
      <c r="G150" s="1">
        <v>1</v>
      </c>
      <c r="H150" s="1">
        <v>1</v>
      </c>
      <c r="I150" s="1">
        <v>20</v>
      </c>
      <c r="J150" s="1">
        <v>252</v>
      </c>
      <c r="K150" s="1">
        <v>2153</v>
      </c>
      <c r="L150">
        <v>245.08458780000001</v>
      </c>
      <c r="M150">
        <v>9.4011599999999996E-4</v>
      </c>
      <c r="N150">
        <v>-181.4</v>
      </c>
      <c r="O150">
        <v>322.5</v>
      </c>
      <c r="P150" s="9">
        <v>-1639.4618640000001</v>
      </c>
    </row>
    <row r="151" spans="2:17">
      <c r="B151" s="1">
        <v>2</v>
      </c>
      <c r="C151" s="1">
        <v>2</v>
      </c>
      <c r="D151" s="1">
        <v>2</v>
      </c>
      <c r="E151" s="1">
        <v>2</v>
      </c>
      <c r="F151" s="1">
        <v>1</v>
      </c>
      <c r="G151" s="1">
        <v>2</v>
      </c>
      <c r="H151" s="1">
        <v>2</v>
      </c>
      <c r="I151" s="1">
        <v>15</v>
      </c>
      <c r="J151" s="1">
        <v>2330</v>
      </c>
      <c r="K151" s="1">
        <v>2160</v>
      </c>
      <c r="L151">
        <v>177.38264839999999</v>
      </c>
      <c r="M151">
        <v>1.598372E-3</v>
      </c>
      <c r="N151">
        <v>-168.3</v>
      </c>
      <c r="O151">
        <v>149.9</v>
      </c>
      <c r="P151" s="9">
        <v>21781.41893</v>
      </c>
    </row>
    <row r="152" spans="2:17">
      <c r="G152" s="1" t="s">
        <v>32</v>
      </c>
      <c r="I152" s="1" t="s">
        <v>32</v>
      </c>
      <c r="J152"/>
    </row>
    <row r="153" spans="2:17">
      <c r="J153"/>
    </row>
    <row r="154" spans="2:17">
      <c r="J154"/>
    </row>
    <row r="155" spans="2:17">
      <c r="J155"/>
    </row>
    <row r="156" spans="2:17">
      <c r="J156"/>
    </row>
    <row r="157" spans="2:17">
      <c r="J157"/>
    </row>
    <row r="158" spans="2:17">
      <c r="J158"/>
    </row>
    <row r="159" spans="2:17">
      <c r="J159"/>
    </row>
    <row r="160" spans="2:17">
      <c r="J160"/>
    </row>
    <row r="161" spans="10:10">
      <c r="J161"/>
    </row>
    <row r="162" spans="10:10">
      <c r="J162"/>
    </row>
    <row r="163" spans="10:10">
      <c r="J163"/>
    </row>
    <row r="164" spans="10:10">
      <c r="J164"/>
    </row>
  </sheetData>
  <autoFilter ref="A2:Q152" xr:uid="{5D38F4AE-8CE1-47F1-9E17-416A4B3FCDCF}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6e4db608-ddec-4a44-8ad7-7d5a79b7448e}" enabled="1" method="Standard" siteId="{fd799da1-bfc1-4234-a91c-72b3a1cb9e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Chevron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Popa, Andrei</dc:creator>
  <cp:keywords/>
  <dc:description/>
  <cp:lastModifiedBy>Kamiar Asgari</cp:lastModifiedBy>
  <cp:revision/>
  <dcterms:created xsi:type="dcterms:W3CDTF">2025-07-11T19:01:43Z</dcterms:created>
  <dcterms:modified xsi:type="dcterms:W3CDTF">2025-07-11T19:26:51Z</dcterms:modified>
  <cp:category/>
  <cp:contentStatus/>
</cp:coreProperties>
</file>